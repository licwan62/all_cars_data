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cheng\Workflow\all_cars_data\尺码簇分析\"/>
    </mc:Choice>
  </mc:AlternateContent>
  <xr:revisionPtr revIDLastSave="0" documentId="13_ncr:1_{C1F2106F-1335-4D59-9C38-8F856105301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结论摘要" sheetId="1" r:id="rId1"/>
    <sheet name="上限建议" sheetId="2" r:id="rId2"/>
    <sheet name="跨代分组" sheetId="3" r:id="rId3"/>
    <sheet name="规则快照" sheetId="4" r:id="rId4"/>
    <sheet name="数据质量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<sst xmlns="http://schemas.openxmlformats.org/spreadsheetml/2006/main" count="1010" uniqueCount="329">
  <si>
    <t>车型尺码上限微调分析</t>
  </si>
  <si>
    <t>结论先行：乘用车 3L 与普通/W 分界不建议全局改；Accord 等边界车型用手动清单处理。仅 PK-XXL +11 mm 具备低连带的小范围试行条件。</t>
  </si>
  <si>
    <t>源文件</t>
  </si>
  <si>
    <t>source\车型数据尺码.xlsx</t>
  </si>
  <si>
    <t>修改时间</t>
  </si>
  <si>
    <t>2026-08-25 16:36:15</t>
  </si>
  <si>
    <t>SHA-256</t>
  </si>
  <si>
    <t>eb2ea7d4498b6859f0ba6e11f15143e0cabf86c2f80ee180b6df81714ffffcc6</t>
  </si>
  <si>
    <t>总车型记录</t>
  </si>
  <si>
    <t>有分类记录</t>
  </si>
  <si>
    <t>规则复算差异</t>
  </si>
  <si>
    <t>手动候选</t>
  </si>
  <si>
    <t>Accord方案连带</t>
  </si>
  <si>
    <t>推荐动作</t>
  </si>
  <si>
    <t>优先级</t>
  </si>
  <si>
    <t>对象</t>
  </si>
  <si>
    <t>建议</t>
  </si>
  <si>
    <t>原因 / 风险控制</t>
  </si>
  <si>
    <t>1</t>
  </si>
  <si>
    <t>PK-XXL 长上限</t>
  </si>
  <si>
    <t>6451 → 6462 mm，小范围试行</t>
  </si>
  <si>
    <t>只影响 2 条 F-250/F-350 Super Duty 记录；先确认向小一档后仍能覆盖。</t>
  </si>
  <si>
    <t>2</t>
  </si>
  <si>
    <t>Honda Accord</t>
  </si>
  <si>
    <t>不改 3L 全局上限；4 条边界代际手动改到 3XL</t>
  </si>
  <si>
    <t>全局 4736 → 4693 会连带 65 条非 Accord 记录换大一档。</t>
  </si>
  <si>
    <t>3</t>
  </si>
  <si>
    <t>普通/W 分界</t>
  </si>
  <si>
    <t>维持参考插片上限 120</t>
  </si>
  <si>
    <t>±5 区间已有 18 条、330.6 万销量，且两侧车型几何形态差异明显。</t>
  </si>
  <si>
    <t>4</t>
  </si>
  <si>
    <t>其余长上限</t>
  </si>
  <si>
    <t>保持现状，使用手动清单逐车型处理</t>
  </si>
  <si>
    <t>多数候选会移动几十条记录，或把长车分到更小尺码，需实物验证。</t>
  </si>
  <si>
    <t>各尺码长上限：最佳模拟与保守落地建议</t>
  </si>
  <si>
    <t>模拟范围：乘用车 ±100 mm、皮卡 ±150 mm；销量改善衡量高销量家族的主组覆盖增加，非目标连带销量用于抑制过度换档。</t>
  </si>
  <si>
    <t>源尺码行</t>
  </si>
  <si>
    <t>分类</t>
  </si>
  <si>
    <t>通道</t>
  </si>
  <si>
    <t>逻辑尺码</t>
  </si>
  <si>
    <t>内部尺码</t>
  </si>
  <si>
    <t>现行长上限</t>
  </si>
  <si>
    <t>模拟候选上限</t>
  </si>
  <si>
    <t>模拟Δ-mm</t>
  </si>
  <si>
    <t>建议落地上限</t>
  </si>
  <si>
    <t>决策</t>
  </si>
  <si>
    <t>换档记录数</t>
  </si>
  <si>
    <t>换档销量</t>
  </si>
  <si>
    <t>跨代归组改善销量</t>
  </si>
  <si>
    <t>跨代纯度下降销量</t>
  </si>
  <si>
    <t>非目标连带销量</t>
  </si>
  <si>
    <t>±25mm边界记录</t>
  </si>
  <si>
    <t>±25mm边界销量</t>
  </si>
  <si>
    <t>改善车型</t>
  </si>
  <si>
    <t>结论说明</t>
  </si>
  <si>
    <t>皮卡</t>
  </si>
  <si>
    <t>普通</t>
  </si>
  <si>
    <t>PK-M</t>
  </si>
  <si>
    <t>保持规则，车型手动</t>
  </si>
  <si>
    <t>Chevrolet / C/K / Pickup (Regular/6.5); Chevrolet / C/K / Pickup (Regular/8); Chevrolet / Colorado / Pickup (Crew/5); Chevrolet / El Camino / Pickup (Regular/6.5); Chevrolet / Silverado 1500 / Pickup (Regular/6.6); Dodge / Dakota / Pickup (Regular/6.5); Dodge / Dakota / Pickup (Regular/8); Ford / F-100 / Pickup (Regular/6.5)</t>
  </si>
  <si>
    <t>模拟可改善部分跨代归组，但全局换档规模或向小一档的实物风险不适合直接落规则。</t>
  </si>
  <si>
    <t>越野车</t>
  </si>
  <si>
    <t>YL</t>
  </si>
  <si>
    <t>Acura / MDX / SUV; BMW / X5 / SUV; Chevrolet / Blazer / SUV; Honda / Passport / SUV; Hyundai / Santa Fe / SUV; Jeep / Grand Cherokee / SUV; Land Rover / Range Rover Sport / SUV; Lexus / GX / SUV</t>
  </si>
  <si>
    <t>三厢车</t>
  </si>
  <si>
    <t>3M</t>
  </si>
  <si>
    <t>BMW / 3 Series / Sedan; Chevrolet / Cavalier / Sedan; Honda / Civic / Sedan; Hyundai / Elantra / Sedan; Kia / Forte / Sedan; Mitsubishi / Lancer / Sedan; Nissan / Sentra / Sedan; Subaru / Impreza / Sedan</t>
  </si>
  <si>
    <t>3L</t>
  </si>
  <si>
    <t>Audi / A4/S4 / Sedan; BMW / 5 Series / Sedan; Dodge / Stratus / Sedan; Honda / Accord / Sedan; Hyundai / Sonata / Sedan; Nissan / Altima / Sedan; Pontiac / Grand Am / Sedan; Subaru / Legacy / Sedan</t>
  </si>
  <si>
    <t>Accord 可通过手动归组实现；全局下调会让大量 4694–4736 mm 车型统一换大一档，长度余量突增。</t>
  </si>
  <si>
    <t>3XL</t>
  </si>
  <si>
    <t>BMW / 5 Series / Sedan; Chevrolet / Lumina / Sedan; Chrysler / 300 series / Sedan; Chrysler / 300 / Sedan; Dodge / Charger / Sedan; Lexus / LS / Sedan; Mercury / Sable / Sedan</t>
  </si>
  <si>
    <t>跑车</t>
  </si>
  <si>
    <t>3L-0</t>
  </si>
  <si>
    <t>Chevrolet / Camaro / Convertible; Chevrolet / Camaro / Coupe; Honda / Accord / Coupe; Pontiac / Grand Am / Coupe</t>
  </si>
  <si>
    <t>两厢车</t>
  </si>
  <si>
    <t>2XL+</t>
  </si>
  <si>
    <t>Chrysler / Town &amp; Country / MPV; Honda / Odyssey / MPV; Kia / Carnival / MPV; Pontiac / LeMans / Wagon; Toyota / Sienna / MPV</t>
  </si>
  <si>
    <t>PK-XXL</t>
  </si>
  <si>
    <t>建议小范围试行</t>
  </si>
  <si>
    <t>Ford / F-250/F-350 Super Duty / Pickup (SuperCab/8)</t>
  </si>
  <si>
    <t>仅 2 条 F-250/F-350 Super Duty 高销量记录换入 PK-XXL，无非目标连带换档；向小一档，须先做样车覆盖验证。</t>
  </si>
  <si>
    <t>2M</t>
  </si>
  <si>
    <t>Honda / Accord / Hatchback; Honda / Civic / Hatchback; Kia / Soul / Wagon; MINI / Cooper / Hatchback; MINI / Hardtop / Hatchback; MINI / Hatchback / Hatchback; Nissan / Versa / Hatchback</t>
  </si>
  <si>
    <t>PK-L</t>
  </si>
  <si>
    <t>样车验证后可选</t>
  </si>
  <si>
    <t>Ford / F-150 / Pickup (Raptor/SuperCrew/5.5); Ford / F-250/F-350 Super Duty / Pickup (SuperCab/6.8); GMC / Sierra 1500 / Pickup (Crew/5.8); Ram / 1500 / Pickup (Crew/5.6)</t>
  </si>
  <si>
    <t>+20 mm 会让 8 条、451 万销量记录从 PK-XL 换到 PK-L；收益存在，但连带销量高，暂不直接改规则。</t>
  </si>
  <si>
    <t>3M-0</t>
  </si>
  <si>
    <t>Chevrolet / Cavalier / Coupe; Chevrolet / Corvette / Convertible; Ford / Mustang / Coupe</t>
  </si>
  <si>
    <t>3S</t>
  </si>
  <si>
    <t>Honda / Civic / Sedan; Toyota / Corolla / Sedan; Volkswagen / Jetta / Sedan</t>
  </si>
  <si>
    <t>YXXL</t>
  </si>
  <si>
    <t>Buick / Enclave / SUV; Ford / Expedition / SUV; GMC / Yukon / SUV; Lincoln / Navigator / SUV; Toyota / Sequoia / SUV</t>
  </si>
  <si>
    <t>3XL-0</t>
  </si>
  <si>
    <t>Chevrolet / Monte Carlo / Coupe; Ford / Thunderbird / Coupe; Mercury / Cougar / Coupe</t>
  </si>
  <si>
    <t>PK-M+</t>
  </si>
  <si>
    <t>Ford / F-150 / Pickup (SuperCab/6.5); Nissan / Frontier / Pickup (Crew/6); Toyota / Tacoma / Pickup (Double/6)</t>
  </si>
  <si>
    <t>3S-0</t>
  </si>
  <si>
    <t>Nissan / Sentra / Coupe; Toyota / Corolla / Coupe</t>
  </si>
  <si>
    <t>2L+</t>
  </si>
  <si>
    <t>BMW / 3 Series / Wagon; Ford / Mustang / Hatchback; Toyota / Prius / Hatchback</t>
  </si>
  <si>
    <t>YM</t>
  </si>
  <si>
    <t>GMC / Terrain / SUV; Lexus / NX / SUV; Volvo / XC60 / SUV</t>
  </si>
  <si>
    <t>3XL+</t>
  </si>
  <si>
    <t>保持现状</t>
  </si>
  <si>
    <t>BMW / 7 Series / Sedan; Dodge / Charger / Sedan; Jaguar / XJ / Sedan; Mercedes-Benz / S-Class / Sedan</t>
  </si>
  <si>
    <t>微调收益不足，或没有实际车型发生换档。</t>
  </si>
  <si>
    <t>2S</t>
  </si>
  <si>
    <t>Chevrolet / Spark / Hatchback; MINI / Cooper / Hatchback; MINI / Hatchback / Hatchback</t>
  </si>
  <si>
    <t>2XL</t>
  </si>
  <si>
    <t>Subaru / Outback / Hatchback</t>
  </si>
  <si>
    <t>3XXL</t>
  </si>
  <si>
    <t>Mercedes-Benz / S-Class / Sedan</t>
  </si>
  <si>
    <t>W</t>
  </si>
  <si>
    <t>3WXXL</t>
  </si>
  <si>
    <t>3WXXL-0</t>
  </si>
  <si>
    <t>W 版长度边界未出现低连带、高收益的稳定微调点。</t>
  </si>
  <si>
    <t>3XXXL</t>
  </si>
  <si>
    <t>3XXXL-0</t>
  </si>
  <si>
    <t>3WX</t>
  </si>
  <si>
    <t>3WXL</t>
  </si>
  <si>
    <t>PK-XL</t>
  </si>
  <si>
    <t>YXL</t>
  </si>
  <si>
    <t>3WXL-0</t>
  </si>
  <si>
    <t>YXXL-545</t>
  </si>
  <si>
    <t>DRW</t>
  </si>
  <si>
    <t>PK-WX</t>
  </si>
  <si>
    <t>3XL+0</t>
  </si>
  <si>
    <t>3XXL-0</t>
  </si>
  <si>
    <t>高销量车型跨代尺码分布</t>
  </si>
  <si>
    <t>按 MAKE + MODEL + 结构 + 分类 + 普通/W通道聚合；同名车型跨越多代但尺寸跨度过大时，不强制并组。</t>
  </si>
  <si>
    <t>车型家族</t>
  </si>
  <si>
    <t>代际数</t>
  </si>
  <si>
    <t>家族总销量</t>
  </si>
  <si>
    <t>现有尺码分布(销量)</t>
  </si>
  <si>
    <t>销量主组</t>
  </si>
  <si>
    <t>主组占比</t>
  </si>
  <si>
    <t>处理原则</t>
  </si>
  <si>
    <t>Toyota / Camry / Sedan</t>
  </si>
  <si>
    <t>3M:819,527, 3XL:12,203,489</t>
  </si>
  <si>
    <t>边界代际手动归主组</t>
  </si>
  <si>
    <t>Toyota / Corolla / Sedan</t>
  </si>
  <si>
    <t>3L:2,546,042, 3M:5,861,554, 3S:950,004</t>
  </si>
  <si>
    <t>Honda / Accord / Sedan</t>
  </si>
  <si>
    <t>3L:1,085,057, 3M:729,588, 3XL:5,818,380</t>
  </si>
  <si>
    <t>Honda / CR-V / SUV</t>
  </si>
  <si>
    <t>YL:1,594,016, YM:6,011,665</t>
  </si>
  <si>
    <t>Dodge / Caravan / MPV</t>
  </si>
  <si>
    <t>2L+:1,435,000, 2XL:3,474,367, 2XL+:650,000, 2XXL:1,491,594</t>
  </si>
  <si>
    <t>保留多尺码；代际尺寸差异较大</t>
  </si>
  <si>
    <t>Ford / Explorer / SUV</t>
  </si>
  <si>
    <t>YL:476,120, YM:3,865,607, YXL:1,687,279, YXXL:971,209</t>
  </si>
  <si>
    <t>Jeep / Grand Cherokee / SUV</t>
  </si>
  <si>
    <t>YL:1,982,400, YM:2,396,026, YXL:1,392,170, YXXL:636,982</t>
  </si>
  <si>
    <t>Nissan / Altima / Sedan</t>
  </si>
  <si>
    <t>3L:1,337,303, 3XL:4,741,181</t>
  </si>
  <si>
    <t>Ford / F-150 / Pickup (Regular/8)</t>
  </si>
  <si>
    <t>PK-L:4,413,950, PK-M+:880,417</t>
  </si>
  <si>
    <t>Honda / Civic / Sedan</t>
  </si>
  <si>
    <t>3L:909,673, 3M:3,413,965, 3S:854,989</t>
  </si>
  <si>
    <t>Honda / Accord / Coupe</t>
  </si>
  <si>
    <t>3L:1,247,089, 3XL:3,611,739</t>
  </si>
  <si>
    <t>Ford / Mustang / Coupe</t>
  </si>
  <si>
    <t>3L:2,015,096, 3M:1,265,548, 3XL:1,192,755</t>
  </si>
  <si>
    <t>Ford / F-150 / Pickup (Regular/6.5)</t>
  </si>
  <si>
    <t>PK-M:1,690,780, PK-M+:2,723,177</t>
  </si>
  <si>
    <t>Buick / Century / Wagon</t>
  </si>
  <si>
    <t>:1,343,560, 2XL:2,246,096, 2XL+:436,279, 2XXL:342,967</t>
  </si>
  <si>
    <t>Nissan / Sentra / Sedan</t>
  </si>
  <si>
    <t>3L:2,825,888, 3M:1,392,911, 3S:0</t>
  </si>
  <si>
    <t>Ford / F-250/F-350 Super Duty / Pickup (SuperCab/6.8)</t>
  </si>
  <si>
    <t>PK-L:1,820,336, PK-XL:2,372,771</t>
  </si>
  <si>
    <t>PK-XL:349,143, PK-XXL:2,340,915, PK-XXXL:1,503,040</t>
  </si>
  <si>
    <t>Oldsmobile / Cutlass / Sedan [W]</t>
  </si>
  <si>
    <t>3WX:1,387,703, 3WXXL:2,615,235</t>
  </si>
  <si>
    <t>Honda / Civic / Coupe</t>
  </si>
  <si>
    <t>3M:3,681,118, 3S:238,795</t>
  </si>
  <si>
    <t>Volkswagen / Passat / Sedan</t>
  </si>
  <si>
    <t>3L:1,378,051, 3M:5,890, 3XL:2,431,784</t>
  </si>
  <si>
    <t>Chevrolet / Tahoe / SUV</t>
  </si>
  <si>
    <t>YL:311,807, YXXL:2,878,569, YXXL-545:602,957</t>
  </si>
  <si>
    <t>Toyota / Highlander / SUV</t>
  </si>
  <si>
    <t>YL:1,477,945, YXL:2,274,763</t>
  </si>
  <si>
    <t>Jeep / Cherokee / SUV</t>
  </si>
  <si>
    <t>YL:21,200, YM:3,677,666</t>
  </si>
  <si>
    <t>Volkswagen / Jetta / Sedan</t>
  </si>
  <si>
    <t>3L:1,078,396, 3M:2,190,835, 3S:110,281, 3XL:228,527</t>
  </si>
  <si>
    <t>Chevrolet / C/K / Pickup (Regular/8)</t>
  </si>
  <si>
    <t>PK-M:1,465,833, PK-M+:2,115,500</t>
  </si>
  <si>
    <t>Hyundai / Sonata / Sedan</t>
  </si>
  <si>
    <t>3L:411,332, 3XL:3,114,041</t>
  </si>
  <si>
    <t>Chevrolet / Blazer / SUV</t>
  </si>
  <si>
    <t>YL:2,683,344, YM:313,307, YXL:503,792</t>
  </si>
  <si>
    <t>Toyota / 4Runner / SUV</t>
  </si>
  <si>
    <t>YL:1,180,228, YM:755,390, YXL:1,535,734</t>
  </si>
  <si>
    <t>Oldsmobile / 88 / Sedan [W]</t>
  </si>
  <si>
    <t>3WX:386,143, 3WXXL:1,390,556, 3WXXXL:1,674,998</t>
  </si>
  <si>
    <t>3WXXXL</t>
  </si>
  <si>
    <t>Ram / 1500 / Pickup (Regular/6.4)</t>
  </si>
  <si>
    <t>PK-M:2,624,306, PK-M+:825,516</t>
  </si>
  <si>
    <t>Ford / F-150 / Pickup (SuperCab/6.5)</t>
  </si>
  <si>
    <t>PK-L:3,138,462, PK-M+:303,750</t>
  </si>
  <si>
    <t>Cadillac / DeVille / Sedan [W]</t>
  </si>
  <si>
    <t>3WX:300,000, 3WXXL:955,184, 3WXXXL:2,155,333</t>
  </si>
  <si>
    <t>Cadillac / DeVille / Coupe [W]</t>
  </si>
  <si>
    <t>3WX:300,000, 3WXXL:214,157, 3WXXXL:2,885,343</t>
  </si>
  <si>
    <t>Buick / LeSabre / Sedan [W]</t>
  </si>
  <si>
    <t>3WX:289,556, 3WXXL:2,035,649, 3WXXXL:973,539</t>
  </si>
  <si>
    <t>Honda / Odyssey / MPV</t>
  </si>
  <si>
    <t>2XL:94,088, 2XL+:797,315, 2XXL:2,398,493</t>
  </si>
  <si>
    <t>2XXL</t>
  </si>
  <si>
    <t>Chevrolet / Bel Air / Sedan [W]</t>
  </si>
  <si>
    <t>3WX:579,304, 3WXXL:2,133,523, 3WXXXL:495,706</t>
  </si>
  <si>
    <t>Chevrolet / Camaro / Coupe</t>
  </si>
  <si>
    <t>3L:349,568, 3XL:2,856,507</t>
  </si>
  <si>
    <t>Subaru / Forester / SUV</t>
  </si>
  <si>
    <t>YL:787,253, YM:2,392,070</t>
  </si>
  <si>
    <t>Oldsmobile / Cutlass / Coupe [W]</t>
  </si>
  <si>
    <t>3WX:1,284,736, 3WXXL:1,852,487</t>
  </si>
  <si>
    <t>Nissan / Maxima / Sedan</t>
  </si>
  <si>
    <t>3L:379,526, 3XL:2,734,348</t>
  </si>
  <si>
    <t>Hyundai / Elantra / Sedan</t>
  </si>
  <si>
    <t>3L:1,075,764, 3M:1,993,992</t>
  </si>
  <si>
    <t>Toyota / Sienna / MPV</t>
  </si>
  <si>
    <t>2XL+:2,531,187, 2XXL:531,307</t>
  </si>
  <si>
    <t>Honda / Civic / Hatchback</t>
  </si>
  <si>
    <t>2L+:1,136,616, 2M:1,582,231, 2XL:315,804</t>
  </si>
  <si>
    <t>Oldsmobile / 88 / Coupe [W]</t>
  </si>
  <si>
    <t>3WX:285,000, 3WXXL:1,039,584, 3WXXXL:1,675,006</t>
  </si>
  <si>
    <t>Honda / Pilot / SUV</t>
  </si>
  <si>
    <t>YL:754,474, YXL:1,798,232, YXXL:439,135</t>
  </si>
  <si>
    <t>Buick / Regal / Coupe [W]</t>
  </si>
  <si>
    <t>3WX:571,000, 3WXXL:2,367,968</t>
  </si>
  <si>
    <t>Mercury / Grand Marquis / Sedan [W]</t>
  </si>
  <si>
    <t>3WXXL:2,736,938, 3WXXXL:174,000</t>
  </si>
  <si>
    <t>Ford / Expedition / SUV</t>
  </si>
  <si>
    <t>YXXL:2,012,816, YXXL-545:312,158, YXXL-585:578,184</t>
  </si>
  <si>
    <t>Lexus / RX / SUV</t>
  </si>
  <si>
    <t>YL:1,195,601, YM:475,000, YXL:1,208,900</t>
  </si>
  <si>
    <t>Ford / Mustang / Convertible</t>
  </si>
  <si>
    <t>3L:1,705,863, 3XL:1,120,125</t>
  </si>
  <si>
    <t>Ford / Taurus / Sedan</t>
  </si>
  <si>
    <t>3XL:2,706,570, 3XL+:98,284</t>
  </si>
  <si>
    <t>Ford / F-150 / Pickup (SuperCab/8)</t>
  </si>
  <si>
    <t>PK-XL:1,276,099, PK-XXL:1,513,976</t>
  </si>
  <si>
    <t>Chevrolet / Suburban / SUV</t>
  </si>
  <si>
    <t>YL:123,000, YM:35,000, YXXL:14,500, YXXL-545:0, YXXL-585:2,441,996</t>
  </si>
  <si>
    <t>YXXL-585</t>
  </si>
  <si>
    <t>Jeep / Wrangler / SUV</t>
  </si>
  <si>
    <t>:1,445,710, YL:0, YM:919,037</t>
  </si>
  <si>
    <t>Pontiac / Grand Prix / Coupe [W]</t>
  </si>
  <si>
    <t>3WXXL:2,086,230, 3WXXXL:217,576</t>
  </si>
  <si>
    <t>Dodge / Durango / SUV</t>
  </si>
  <si>
    <t>YXL:866,064, YXXL:1,401,933</t>
  </si>
  <si>
    <t>Hyundai / Tucson / SUV</t>
  </si>
  <si>
    <t>YL:276,840, YM:1,974,425</t>
  </si>
  <si>
    <t>Chrysler / Town &amp; Country / MPV</t>
  </si>
  <si>
    <t>2XL:50,000, 2XL+:1,188,941, 2XXL:934,707</t>
  </si>
  <si>
    <t>Toyota / Prius / Hatchback</t>
  </si>
  <si>
    <t>2L+:1,546,700, 2XL:621,736</t>
  </si>
  <si>
    <t>Subaru / Outback / Wagon</t>
  </si>
  <si>
    <t>2XL:2,000,195, 2XL+:165,000</t>
  </si>
  <si>
    <t>Ford / F-100 / Pickup (Regular/8)</t>
  </si>
  <si>
    <t>PK-M:1,955,000, PK-M+:135,000</t>
  </si>
  <si>
    <t>Hyundai / Santa Fe / SUV</t>
  </si>
  <si>
    <t>YL:1,667,100, YM:0, YXL:411,864</t>
  </si>
  <si>
    <t>Nissan / Pathfinder / SUV</t>
  </si>
  <si>
    <t>YL:311,598, YM:645,000, YXL:42,621, YXXL:1,034,597</t>
  </si>
  <si>
    <t>Pontiac / Bonneville / Sedan [W]</t>
  </si>
  <si>
    <t>3WXXL:1,696,633, 3WXXXL:332,999</t>
  </si>
  <si>
    <t>Chevrolet / Trailblazer / SUV</t>
  </si>
  <si>
    <t>YM:577,826, YXL:1,432,666</t>
  </si>
  <si>
    <t>Chevrolet / Cavalier / Sedan</t>
  </si>
  <si>
    <t>3L:1,159,254, 3M:829,278</t>
  </si>
  <si>
    <t>Plymouth / Valiant / Coupe [W]</t>
  </si>
  <si>
    <t>3WX:1,150,319, 3WXXL:757,751</t>
  </si>
  <si>
    <t>Kia / Sorento / SUV</t>
  </si>
  <si>
    <t>YL:1,623,883, YM:282,406</t>
  </si>
  <si>
    <t>Ford / Thunderbird / Coupe [W]</t>
  </si>
  <si>
    <t>3WXXL:952,816, 3WXXXL:936,038</t>
  </si>
  <si>
    <t>Chevrolet / C/K / Pickup [DRW] (DRW/Crew/8)</t>
  </si>
  <si>
    <t>PK-WXXL:436,888, PK-XXL:1,438,000</t>
  </si>
  <si>
    <t>Chevrolet / Cavalier / Coupe</t>
  </si>
  <si>
    <t>3L:1,012,720, 3M:848,301</t>
  </si>
  <si>
    <t>Toyota / Corolla / Wagon</t>
  </si>
  <si>
    <t>2L+:1,638,851, 2M:213,430</t>
  </si>
  <si>
    <t>Lexus / ES / Sedan</t>
  </si>
  <si>
    <t>3L:22,476, 3XL:1,805,901, 3XL+:3,896</t>
  </si>
  <si>
    <t>Chevrolet / Silverado 1500 / Pickup (Regular/6.6)</t>
  </si>
  <si>
    <t>PK-M:1,342,386, PK-M+:447,454</t>
  </si>
  <si>
    <t>Mazda / CX-5 / SUV</t>
  </si>
  <si>
    <t>YL:62,691, YM:1,725,774</t>
  </si>
  <si>
    <t>Kia / Sportage / SUV</t>
  </si>
  <si>
    <t>:0, YL:675,520, YM:1,058,258</t>
  </si>
  <si>
    <t>Lincoln / Town Car / Sedan [W]</t>
  </si>
  <si>
    <t>3WXXL:420,655, 3WXXXL:1,299,743</t>
  </si>
  <si>
    <t>Ram / 1500 / Pickup (Crew/5.6)</t>
  </si>
  <si>
    <t>PK-L:642,371, PK-XL:1,059,624</t>
  </si>
  <si>
    <t>GMC / Yukon / SUV</t>
  </si>
  <si>
    <t>YL:0, YXXL:1,153,836, YXXL-545:517,520</t>
  </si>
  <si>
    <t>Dodge / Charger / Sedan</t>
  </si>
  <si>
    <t>3XL:746,948, 3XL+:812,021, 3XXL:15,657</t>
  </si>
  <si>
    <t>“尺码”工作表 A:I 规则快照</t>
  </si>
  <si>
    <t>源表不做修改；建议列仅记录本次评估结论。参考插片普通/W分界 120 保持不变。</t>
  </si>
  <si>
    <t>源行号</t>
  </si>
  <si>
    <t>档位序号</t>
  </si>
  <si>
    <t>CAB</t>
  </si>
  <si>
    <t>版本</t>
  </si>
  <si>
    <t>参考插片上限</t>
  </si>
  <si>
    <t>使用</t>
  </si>
  <si>
    <t>建议长上限</t>
  </si>
  <si>
    <t>y</t>
  </si>
  <si>
    <t>保持</t>
  </si>
  <si>
    <t>3XXXXL</t>
  </si>
  <si>
    <t>3XXXXL-0</t>
  </si>
  <si>
    <t>PK-XL+</t>
  </si>
  <si>
    <t>小范围试行</t>
  </si>
  <si>
    <t>PK-XXXL</t>
  </si>
  <si>
    <t>PK-WXXL</t>
  </si>
  <si>
    <t>3WXXXL-0</t>
  </si>
  <si>
    <t>分析覆盖与规则复算质量</t>
  </si>
  <si>
    <t>现行规则复算与“自动尺码”字段差异：0 条。未分类的 450 条记录销量均为 0，不进入上限优化。</t>
  </si>
  <si>
    <t>记录数</t>
  </si>
  <si>
    <t>销量合计</t>
  </si>
  <si>
    <t>已匹配尺码</t>
  </si>
  <si>
    <t>未匹配尺码</t>
  </si>
  <si>
    <t>未匹配销量</t>
  </si>
  <si>
    <t>未分类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</si>
</sst>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;\-0;0"/>
    <numFmt numFmtId="177" formatCode="0.0%"/>
  </numFmts>
  <fonts count="16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sz val="10"/>
      <color rgb="FF475569"/>
      <name val="Microsoft YaHei"/>
      <family val="2"/>
      <charset val="134"/>
    </font>
    <font>
      <b/>
      <sz val="10"/>
      <color rgb="FF17324D"/>
      <name val="Microsoft YaHei"/>
      <family val="2"/>
      <charset val="134"/>
    </font>
    <font>
      <sz val="9"/>
      <color rgb="FF334155"/>
      <name val="Microsoft YaHei"/>
      <family val="2"/>
      <charset val="134"/>
    </font>
    <font>
      <sz val="9"/>
      <color rgb="FF334155"/>
      <name val="Consolas"/>
    </font>
    <font>
      <b/>
      <sz val="9"/>
      <color rgb="FF475569"/>
      <name val="Microsoft YaHei"/>
      <family val="2"/>
      <charset val="134"/>
    </font>
    <font>
      <b/>
      <sz val="18"/>
      <color rgb="FF17324D"/>
      <name val="Microsoft YaHei"/>
      <family val="2"/>
      <charset val="134"/>
    </font>
    <font>
      <b/>
      <sz val="13"/>
      <color rgb="FF17324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E293B"/>
      <name val="Microsoft YaHei"/>
      <family val="2"/>
      <charset val="134"/>
    </font>
    <font>
      <sz val="9"/>
      <color rgb="FF1E293B"/>
      <name val="Microsoft YaHei"/>
      <family val="2"/>
      <charset val="134"/>
    </font>
    <font>
      <b/>
      <sz val="9"/>
      <color rgb="FF2563EB"/>
      <name val="Microsoft YaHei"/>
      <family val="2"/>
      <charset val="134"/>
    </font>
    <font>
      <b/>
      <sz val="9"/>
      <color rgb="FF15803D"/>
      <name val="Microsoft YaHei"/>
      <family val="2"/>
      <charset val="134"/>
    </font>
    <font>
      <b/>
      <sz val="9"/>
      <color rgb="FFD97706"/>
      <name val="Microsoft YaHei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8" fillId="0" borderId="0" xfId="0" applyFont="1"/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/>
    </xf>
    <xf numFmtId="0" fontId="12" fillId="4" borderId="0" xfId="0" applyFont="1" applyFill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7" borderId="0" xfId="0" applyFont="1" applyFill="1" applyAlignment="1">
      <alignment vertical="center"/>
    </xf>
    <xf numFmtId="1" fontId="11" fillId="7" borderId="0" xfId="0" applyNumberFormat="1" applyFont="1" applyFill="1" applyAlignment="1">
      <alignment vertical="center"/>
    </xf>
    <xf numFmtId="176" fontId="11" fillId="7" borderId="0" xfId="0" applyNumberFormat="1" applyFont="1" applyFill="1" applyAlignment="1">
      <alignment vertical="center"/>
    </xf>
    <xf numFmtId="3" fontId="11" fillId="7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77" fontId="11" fillId="0" borderId="0" xfId="0" applyNumberFormat="1" applyFont="1" applyAlignment="1">
      <alignment vertical="center"/>
    </xf>
    <xf numFmtId="177" fontId="11" fillId="7" borderId="0" xfId="0" applyNumberFormat="1" applyFont="1" applyFill="1" applyAlignment="1">
      <alignment vertical="center"/>
    </xf>
    <xf numFmtId="3" fontId="11" fillId="0" borderId="0" xfId="0" applyNumberFormat="1" applyFont="1" applyAlignment="1">
      <alignment vertical="center" wrapText="1"/>
    </xf>
    <xf numFmtId="3" fontId="11" fillId="7" borderId="0" xfId="0" applyNumberFormat="1" applyFont="1" applyFill="1" applyAlignment="1">
      <alignment vertical="center" wrapText="1"/>
    </xf>
    <xf numFmtId="0" fontId="10" fillId="0" borderId="0" xfId="0" applyFont="1" applyAlignment="1">
      <alignment vertical="top" wrapText="1"/>
    </xf>
    <xf numFmtId="0" fontId="0" fillId="0" borderId="0" xfId="0"/>
    <xf numFmtId="0" fontId="6" fillId="3" borderId="0" xfId="0" applyFont="1" applyFill="1"/>
    <xf numFmtId="0" fontId="10" fillId="7" borderId="0" xfId="0" applyFont="1" applyFill="1" applyAlignment="1">
      <alignment vertical="top" wrapText="1"/>
    </xf>
    <xf numFmtId="3" fontId="7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9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3" fontId="7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undaryRecommendations" displayName="BoundaryRecommendations" ref="A4:S37">
  <autoFilter ref="A4:S37" xr:uid="{00000000-0009-0000-0100-000001000000}"/>
  <tableColumns count="19">
    <tableColumn id="1" xr3:uid="{00000000-0010-0000-0000-000001000000}" name="源尺码行"/>
    <tableColumn id="2" xr3:uid="{00000000-0010-0000-0000-000002000000}" name="分类"/>
    <tableColumn id="3" xr3:uid="{00000000-0010-0000-0000-000003000000}" name="通道"/>
    <tableColumn id="4" xr3:uid="{00000000-0010-0000-0000-000004000000}" name="逻辑尺码"/>
    <tableColumn id="5" xr3:uid="{00000000-0010-0000-0000-000005000000}" name="内部尺码"/>
    <tableColumn id="6" xr3:uid="{00000000-0010-0000-0000-000006000000}" name="现行长上限"/>
    <tableColumn id="7" xr3:uid="{00000000-0010-0000-0000-000007000000}" name="模拟候选上限"/>
    <tableColumn id="8" xr3:uid="{00000000-0010-0000-0000-000008000000}" name="模拟Δ-mm"/>
    <tableColumn id="9" xr3:uid="{00000000-0010-0000-0000-000009000000}" name="建议落地上限"/>
    <tableColumn id="10" xr3:uid="{00000000-0010-0000-0000-00000A000000}" name="决策"/>
    <tableColumn id="11" xr3:uid="{00000000-0010-0000-0000-00000B000000}" name="换档记录数"/>
    <tableColumn id="12" xr3:uid="{00000000-0010-0000-0000-00000C000000}" name="换档销量"/>
    <tableColumn id="13" xr3:uid="{00000000-0010-0000-0000-00000D000000}" name="跨代归组改善销量"/>
    <tableColumn id="14" xr3:uid="{00000000-0010-0000-0000-00000E000000}" name="跨代纯度下降销量"/>
    <tableColumn id="15" xr3:uid="{00000000-0010-0000-0000-00000F000000}" name="非目标连带销量"/>
    <tableColumn id="16" xr3:uid="{00000000-0010-0000-0000-000010000000}" name="±25mm边界记录"/>
    <tableColumn id="17" xr3:uid="{00000000-0010-0000-0000-000011000000}" name="±25mm边界销量"/>
    <tableColumn id="18" xr3:uid="{00000000-0010-0000-0000-000012000000}" name="改善车型"/>
    <tableColumn id="19" xr3:uid="{00000000-0010-0000-0000-000013000000}" name="结论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milyClusters" displayName="FamilyClusters" ref="A4:I84">
  <autoFilter ref="A4:I84" xr:uid="{00000000-0009-0000-0100-000002000000}"/>
  <tableColumns count="9">
    <tableColumn id="1" xr3:uid="{00000000-0010-0000-0100-000001000000}" name="车型家族"/>
    <tableColumn id="2" xr3:uid="{00000000-0010-0000-0100-000002000000}" name="分类"/>
    <tableColumn id="3" xr3:uid="{00000000-0010-0000-0100-000003000000}" name="通道"/>
    <tableColumn id="4" xr3:uid="{00000000-0010-0000-0100-000004000000}" name="代际数"/>
    <tableColumn id="5" xr3:uid="{00000000-0010-0000-0100-000005000000}" name="家族总销量"/>
    <tableColumn id="6" xr3:uid="{00000000-0010-0000-0100-000006000000}" name="现有尺码分布(销量)"/>
    <tableColumn id="7" xr3:uid="{00000000-0010-0000-0100-000007000000}" name="销量主组"/>
    <tableColumn id="8" xr3:uid="{00000000-0010-0000-0100-000008000000}" name="主组占比"/>
    <tableColumn id="9" xr3:uid="{00000000-0010-0000-0100-000009000000}" name="处理原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napshot" displayName="RuleSnapshot" ref="A4:L47">
  <autoFilter ref="A4:L47" xr:uid="{00000000-0009-0000-0100-000003000000}"/>
  <tableColumns count="12">
    <tableColumn id="1" xr3:uid="{00000000-0010-0000-0200-000001000000}" name="源行号"/>
    <tableColumn id="2" xr3:uid="{00000000-0010-0000-0200-000002000000}" name="逻辑尺码"/>
    <tableColumn id="3" xr3:uid="{00000000-0010-0000-0200-000003000000}" name="内部尺码"/>
    <tableColumn id="4" xr3:uid="{00000000-0010-0000-0200-000004000000}" name="档位序号"/>
    <tableColumn id="5" xr3:uid="{00000000-0010-0000-0200-000005000000}" name="分类"/>
    <tableColumn id="6" xr3:uid="{00000000-0010-0000-0200-000006000000}" name="CAB"/>
    <tableColumn id="7" xr3:uid="{00000000-0010-0000-0200-000007000000}" name="版本"/>
    <tableColumn id="8" xr3:uid="{00000000-0010-0000-0200-000008000000}" name="现行长上限"/>
    <tableColumn id="9" xr3:uid="{00000000-0010-0000-0200-000009000000}" name="参考插片上限"/>
    <tableColumn id="10" xr3:uid="{00000000-0010-0000-0200-00000A000000}" name="使用"/>
    <tableColumn id="11" xr3:uid="{00000000-0010-0000-0200-00000B000000}" name="建议长上限"/>
    <tableColumn id="12" xr3:uid="{00000000-0010-0000-0200-00000C000000}" name="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Quality" displayName="DataQuality" ref="A4:F10">
  <autoFilter ref="A4:F10" xr:uid="{00000000-0009-0000-0100-000004000000}"/>
  <tableColumns count="6">
    <tableColumn id="1" xr3:uid="{00000000-0010-0000-0300-000001000000}" name="分类"/>
    <tableColumn id="2" xr3:uid="{00000000-0010-0000-0300-000002000000}" name="记录数"/>
    <tableColumn id="3" xr3:uid="{00000000-0010-0000-0300-000003000000}" name="销量合计"/>
    <tableColumn id="4" xr3:uid="{00000000-0010-0000-0300-000004000000}" name="已匹配尺码"/>
    <tableColumn id="5" xr3:uid="{00000000-0010-0000-0300-000005000000}" name="未匹配尺码"/>
    <tableColumn id="6" xr3:uid="{00000000-0010-0000-0300-000006000000}" name="未匹配销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showGridLines="0" tabSelected="1" workbookViewId="0">
      <pane ySplit="3" topLeftCell="A4" activePane="bottomLeft" state="frozen"/>
      <selection pane="bottomLeft" sqref="A1:J1"/>
    </sheetView>
  </sheetViews>
  <sheetFormatPr defaultRowHeight="14.15"/>
  <cols>
    <col min="1" max="1" width="12" customWidth="1"/>
    <col min="2" max="2" width="24" customWidth="1"/>
    <col min="3" max="3" width="38" customWidth="1"/>
    <col min="4" max="10" width="14" customWidth="1"/>
  </cols>
  <sheetData>
    <row r="1" spans="1:10" ht="32.049999999999997" customHeight="1">
      <c r="A1" s="31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8" customHeight="1">
      <c r="A2" s="34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15.45">
      <c r="A4" s="1" t="s">
        <v>2</v>
      </c>
      <c r="B4" s="32" t="s">
        <v>3</v>
      </c>
      <c r="C4" s="26"/>
      <c r="D4" s="26"/>
      <c r="E4" s="26"/>
      <c r="F4" s="26"/>
      <c r="G4" s="26"/>
      <c r="H4" s="26"/>
      <c r="I4" s="26"/>
      <c r="J4" s="26"/>
    </row>
    <row r="5" spans="1:10" ht="15.45">
      <c r="A5" s="1" t="s">
        <v>4</v>
      </c>
      <c r="B5" s="32" t="s">
        <v>5</v>
      </c>
      <c r="C5" s="26"/>
      <c r="D5" s="26"/>
      <c r="E5" s="26"/>
      <c r="F5" s="26"/>
      <c r="G5" s="26"/>
      <c r="H5" s="26"/>
      <c r="I5" s="26"/>
      <c r="J5" s="26"/>
    </row>
    <row r="6" spans="1:10" ht="15.45">
      <c r="A6" s="1" t="s">
        <v>6</v>
      </c>
      <c r="B6" s="30" t="s">
        <v>7</v>
      </c>
      <c r="C6" s="26"/>
      <c r="D6" s="26"/>
      <c r="E6" s="26"/>
      <c r="F6" s="26"/>
      <c r="G6" s="26"/>
      <c r="H6" s="26"/>
      <c r="I6" s="26"/>
      <c r="J6" s="26"/>
    </row>
    <row r="8" spans="1:10" ht="15">
      <c r="A8" s="27" t="s">
        <v>8</v>
      </c>
      <c r="B8" s="26"/>
      <c r="C8" s="27" t="s">
        <v>9</v>
      </c>
      <c r="D8" s="26"/>
      <c r="E8" s="27" t="s">
        <v>10</v>
      </c>
      <c r="F8" s="26"/>
      <c r="G8" s="27" t="s">
        <v>11</v>
      </c>
      <c r="H8" s="26"/>
      <c r="I8" s="27" t="s">
        <v>12</v>
      </c>
      <c r="J8" s="26"/>
    </row>
    <row r="9" spans="1:10">
      <c r="A9" s="29">
        <v>4804</v>
      </c>
      <c r="B9" s="26"/>
      <c r="C9" s="29">
        <v>4354</v>
      </c>
      <c r="D9" s="26"/>
      <c r="E9" s="35">
        <v>0</v>
      </c>
      <c r="F9" s="26"/>
      <c r="G9" s="29">
        <v>205</v>
      </c>
      <c r="H9" s="26"/>
      <c r="I9" s="29">
        <v>65</v>
      </c>
      <c r="J9" s="26"/>
    </row>
    <row r="10" spans="1:10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2" spans="1:10" ht="18.45">
      <c r="A12" s="2" t="s">
        <v>13</v>
      </c>
    </row>
    <row r="13" spans="1:10" ht="14.6">
      <c r="A13" s="3" t="s">
        <v>14</v>
      </c>
      <c r="B13" s="3" t="s">
        <v>15</v>
      </c>
      <c r="C13" s="3" t="s">
        <v>16</v>
      </c>
      <c r="D13" s="33" t="s">
        <v>17</v>
      </c>
      <c r="E13" s="26"/>
      <c r="F13" s="26"/>
      <c r="G13" s="26"/>
      <c r="H13" s="26"/>
      <c r="I13" s="26"/>
      <c r="J13" s="26"/>
    </row>
    <row r="14" spans="1:10" ht="34" customHeight="1">
      <c r="A14" s="4" t="s">
        <v>18</v>
      </c>
      <c r="B14" s="4" t="s">
        <v>19</v>
      </c>
      <c r="C14" s="4" t="s">
        <v>20</v>
      </c>
      <c r="D14" s="28" t="s">
        <v>21</v>
      </c>
      <c r="E14" s="26"/>
      <c r="F14" s="26"/>
      <c r="G14" s="26"/>
      <c r="H14" s="26"/>
      <c r="I14" s="26"/>
      <c r="J14" s="26"/>
    </row>
    <row r="15" spans="1:10" ht="34" customHeight="1">
      <c r="A15" s="5" t="s">
        <v>22</v>
      </c>
      <c r="B15" s="5" t="s">
        <v>23</v>
      </c>
      <c r="C15" s="5" t="s">
        <v>24</v>
      </c>
      <c r="D15" s="25" t="s">
        <v>25</v>
      </c>
      <c r="E15" s="26"/>
      <c r="F15" s="26"/>
      <c r="G15" s="26"/>
      <c r="H15" s="26"/>
      <c r="I15" s="26"/>
      <c r="J15" s="26"/>
    </row>
    <row r="16" spans="1:10" ht="34" customHeight="1">
      <c r="A16" s="4" t="s">
        <v>26</v>
      </c>
      <c r="B16" s="4" t="s">
        <v>27</v>
      </c>
      <c r="C16" s="4" t="s">
        <v>28</v>
      </c>
      <c r="D16" s="28" t="s">
        <v>29</v>
      </c>
      <c r="E16" s="26"/>
      <c r="F16" s="26"/>
      <c r="G16" s="26"/>
      <c r="H16" s="26"/>
      <c r="I16" s="26"/>
      <c r="J16" s="26"/>
    </row>
    <row r="17" spans="1:10" ht="34" customHeight="1">
      <c r="A17" s="5" t="s">
        <v>30</v>
      </c>
      <c r="B17" s="5" t="s">
        <v>31</v>
      </c>
      <c r="C17" s="5" t="s">
        <v>32</v>
      </c>
      <c r="D17" s="25" t="s">
        <v>33</v>
      </c>
      <c r="E17" s="26"/>
      <c r="F17" s="26"/>
      <c r="G17" s="26"/>
      <c r="H17" s="26"/>
      <c r="I17" s="26"/>
      <c r="J17" s="26"/>
    </row>
  </sheetData>
  <mergeCells count="20">
    <mergeCell ref="D17:J17"/>
    <mergeCell ref="D16:J16"/>
    <mergeCell ref="A2:J2"/>
    <mergeCell ref="C9:D10"/>
    <mergeCell ref="E9:F10"/>
    <mergeCell ref="B6:J6"/>
    <mergeCell ref="I9:J10"/>
    <mergeCell ref="A1:J1"/>
    <mergeCell ref="B5:J5"/>
    <mergeCell ref="B4:J4"/>
    <mergeCell ref="I8:J8"/>
    <mergeCell ref="A8:B8"/>
    <mergeCell ref="C8:D8"/>
    <mergeCell ref="D15:J15"/>
    <mergeCell ref="G8:H8"/>
    <mergeCell ref="E8:F8"/>
    <mergeCell ref="D14:J14"/>
    <mergeCell ref="A9:B10"/>
    <mergeCell ref="G9:H10"/>
    <mergeCell ref="D13:J13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7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6" customWidth="1"/>
    <col min="2" max="3" width="8" customWidth="1"/>
    <col min="4" max="5" width="10.3828125" customWidth="1"/>
    <col min="6" max="6" width="10" customWidth="1"/>
    <col min="7" max="9" width="11.61328125" customWidth="1"/>
    <col min="10" max="10" width="16.3828125" customWidth="1"/>
    <col min="11" max="11" width="10" customWidth="1"/>
    <col min="12" max="12" width="12.4609375" customWidth="1"/>
    <col min="13" max="14" width="14.765625" customWidth="1"/>
    <col min="15" max="15" width="13.23046875" customWidth="1"/>
    <col min="16" max="17" width="16.3828125" customWidth="1"/>
    <col min="18" max="18" width="42" customWidth="1"/>
    <col min="19" max="19" width="52" customWidth="1"/>
  </cols>
  <sheetData>
    <row r="1" spans="1:19" ht="32.049999999999997" customHeight="1">
      <c r="A1" s="31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28" customHeight="1">
      <c r="A2" s="34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4" spans="1:19" ht="32.049999999999997" customHeight="1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49</v>
      </c>
      <c r="O4" s="6" t="s">
        <v>50</v>
      </c>
      <c r="P4" s="6" t="s">
        <v>51</v>
      </c>
      <c r="Q4" s="6" t="s">
        <v>52</v>
      </c>
      <c r="R4" s="6" t="s">
        <v>53</v>
      </c>
      <c r="S4" s="6" t="s">
        <v>54</v>
      </c>
    </row>
    <row r="5" spans="1:19" ht="25.75">
      <c r="A5" s="7">
        <v>30</v>
      </c>
      <c r="B5" s="7" t="s">
        <v>55</v>
      </c>
      <c r="C5" s="7" t="s">
        <v>56</v>
      </c>
      <c r="D5" s="7" t="s">
        <v>57</v>
      </c>
      <c r="E5" s="7" t="s">
        <v>57</v>
      </c>
      <c r="F5" s="8">
        <v>5304</v>
      </c>
      <c r="G5" s="8">
        <v>5181</v>
      </c>
      <c r="H5" s="9">
        <f t="shared" ref="H5:H37" si="0">G5-F5</f>
        <v>-123</v>
      </c>
      <c r="I5" s="8">
        <v>5304</v>
      </c>
      <c r="J5" s="10" t="s">
        <v>58</v>
      </c>
      <c r="K5" s="11">
        <v>76</v>
      </c>
      <c r="L5" s="11">
        <v>15377620</v>
      </c>
      <c r="M5" s="11">
        <v>9106870</v>
      </c>
      <c r="N5" s="11">
        <v>178888</v>
      </c>
      <c r="O5" s="11">
        <v>6270750</v>
      </c>
      <c r="P5" s="11">
        <v>25</v>
      </c>
      <c r="Q5" s="11">
        <v>2726897</v>
      </c>
      <c r="R5" s="7" t="s">
        <v>59</v>
      </c>
      <c r="S5" s="12" t="s">
        <v>60</v>
      </c>
    </row>
    <row r="6" spans="1:19" ht="25.75">
      <c r="A6" s="13">
        <v>25</v>
      </c>
      <c r="B6" s="13" t="s">
        <v>61</v>
      </c>
      <c r="C6" s="13" t="s">
        <v>56</v>
      </c>
      <c r="D6" s="13" t="s">
        <v>62</v>
      </c>
      <c r="E6" s="13" t="s">
        <v>62</v>
      </c>
      <c r="F6" s="14">
        <v>4850</v>
      </c>
      <c r="G6" s="14">
        <v>4950</v>
      </c>
      <c r="H6" s="15">
        <f t="shared" si="0"/>
        <v>100</v>
      </c>
      <c r="I6" s="14">
        <v>4850</v>
      </c>
      <c r="J6" s="10" t="s">
        <v>58</v>
      </c>
      <c r="K6" s="16">
        <v>84</v>
      </c>
      <c r="L6" s="16">
        <v>17050190</v>
      </c>
      <c r="M6" s="16">
        <v>7216456</v>
      </c>
      <c r="N6" s="16">
        <v>191072</v>
      </c>
      <c r="O6" s="16">
        <v>9833734</v>
      </c>
      <c r="P6" s="16">
        <v>31</v>
      </c>
      <c r="Q6" s="16">
        <v>3093274</v>
      </c>
      <c r="R6" s="13" t="s">
        <v>63</v>
      </c>
      <c r="S6" s="17" t="s">
        <v>60</v>
      </c>
    </row>
    <row r="7" spans="1:19" ht="25.75">
      <c r="A7" s="7">
        <v>17</v>
      </c>
      <c r="B7" s="7" t="s">
        <v>64</v>
      </c>
      <c r="C7" s="7" t="s">
        <v>56</v>
      </c>
      <c r="D7" s="7" t="s">
        <v>65</v>
      </c>
      <c r="E7" s="7" t="s">
        <v>65</v>
      </c>
      <c r="F7" s="8">
        <v>4557</v>
      </c>
      <c r="G7" s="8">
        <v>4656</v>
      </c>
      <c r="H7" s="9">
        <f t="shared" si="0"/>
        <v>99</v>
      </c>
      <c r="I7" s="8">
        <v>4557</v>
      </c>
      <c r="J7" s="10" t="s">
        <v>58</v>
      </c>
      <c r="K7" s="11">
        <v>77</v>
      </c>
      <c r="L7" s="11">
        <v>17778794</v>
      </c>
      <c r="M7" s="11">
        <v>6957103</v>
      </c>
      <c r="N7" s="11">
        <v>390268</v>
      </c>
      <c r="O7" s="11">
        <v>10821691</v>
      </c>
      <c r="P7" s="11">
        <v>37</v>
      </c>
      <c r="Q7" s="11">
        <v>9280792</v>
      </c>
      <c r="R7" s="7" t="s">
        <v>66</v>
      </c>
      <c r="S7" s="12" t="s">
        <v>60</v>
      </c>
    </row>
    <row r="8" spans="1:19" ht="25.75">
      <c r="A8" s="13">
        <v>18</v>
      </c>
      <c r="B8" s="13" t="s">
        <v>64</v>
      </c>
      <c r="C8" s="13" t="s">
        <v>56</v>
      </c>
      <c r="D8" s="13" t="s">
        <v>67</v>
      </c>
      <c r="E8" s="13" t="s">
        <v>67</v>
      </c>
      <c r="F8" s="14">
        <v>4736</v>
      </c>
      <c r="G8" s="14">
        <v>4693</v>
      </c>
      <c r="H8" s="15">
        <f t="shared" si="0"/>
        <v>-43</v>
      </c>
      <c r="I8" s="14">
        <v>4736</v>
      </c>
      <c r="J8" s="10" t="s">
        <v>58</v>
      </c>
      <c r="K8" s="16">
        <v>35</v>
      </c>
      <c r="L8" s="16">
        <v>7748976</v>
      </c>
      <c r="M8" s="16">
        <v>4153403</v>
      </c>
      <c r="N8" s="16">
        <v>416076</v>
      </c>
      <c r="O8" s="16">
        <v>3595573</v>
      </c>
      <c r="P8" s="16">
        <v>37</v>
      </c>
      <c r="Q8" s="16">
        <v>6370854</v>
      </c>
      <c r="R8" s="13" t="s">
        <v>68</v>
      </c>
      <c r="S8" s="17" t="s">
        <v>69</v>
      </c>
    </row>
    <row r="9" spans="1:19" ht="25.75">
      <c r="A9" s="7">
        <v>19</v>
      </c>
      <c r="B9" s="7" t="s">
        <v>64</v>
      </c>
      <c r="C9" s="7" t="s">
        <v>56</v>
      </c>
      <c r="D9" s="7" t="s">
        <v>70</v>
      </c>
      <c r="E9" s="7" t="s">
        <v>70</v>
      </c>
      <c r="F9" s="8">
        <v>5043</v>
      </c>
      <c r="G9" s="8">
        <v>5103</v>
      </c>
      <c r="H9" s="9">
        <f t="shared" si="0"/>
        <v>60</v>
      </c>
      <c r="I9" s="8">
        <v>5043</v>
      </c>
      <c r="J9" s="10" t="s">
        <v>58</v>
      </c>
      <c r="K9" s="11">
        <v>36</v>
      </c>
      <c r="L9" s="11">
        <v>3911790</v>
      </c>
      <c r="M9" s="11">
        <v>2635689</v>
      </c>
      <c r="N9" s="11">
        <v>16667</v>
      </c>
      <c r="O9" s="11">
        <v>1276101</v>
      </c>
      <c r="P9" s="11">
        <v>21</v>
      </c>
      <c r="Q9" s="11">
        <v>3123026</v>
      </c>
      <c r="R9" s="7" t="s">
        <v>71</v>
      </c>
      <c r="S9" s="12" t="s">
        <v>60</v>
      </c>
    </row>
    <row r="10" spans="1:19" ht="25.75">
      <c r="A10" s="13">
        <v>10</v>
      </c>
      <c r="B10" s="13" t="s">
        <v>72</v>
      </c>
      <c r="C10" s="13" t="s">
        <v>56</v>
      </c>
      <c r="D10" s="13" t="s">
        <v>67</v>
      </c>
      <c r="E10" s="13" t="s">
        <v>73</v>
      </c>
      <c r="F10" s="14">
        <v>4736</v>
      </c>
      <c r="G10" s="14">
        <v>4693</v>
      </c>
      <c r="H10" s="15">
        <f t="shared" si="0"/>
        <v>-43</v>
      </c>
      <c r="I10" s="14">
        <v>4736</v>
      </c>
      <c r="J10" s="10" t="s">
        <v>58</v>
      </c>
      <c r="K10" s="16">
        <v>34</v>
      </c>
      <c r="L10" s="16">
        <v>3596279</v>
      </c>
      <c r="M10" s="16">
        <v>2007928</v>
      </c>
      <c r="N10" s="16">
        <v>0</v>
      </c>
      <c r="O10" s="16">
        <v>1588351</v>
      </c>
      <c r="P10" s="16">
        <v>41</v>
      </c>
      <c r="Q10" s="16">
        <v>2612618</v>
      </c>
      <c r="R10" s="13" t="s">
        <v>74</v>
      </c>
      <c r="S10" s="17" t="s">
        <v>69</v>
      </c>
    </row>
    <row r="11" spans="1:19" ht="25.75">
      <c r="A11" s="7">
        <v>6</v>
      </c>
      <c r="B11" s="7" t="s">
        <v>75</v>
      </c>
      <c r="C11" s="7" t="s">
        <v>56</v>
      </c>
      <c r="D11" s="7" t="s">
        <v>76</v>
      </c>
      <c r="E11" s="7" t="s">
        <v>76</v>
      </c>
      <c r="F11" s="8">
        <v>5120</v>
      </c>
      <c r="G11" s="8">
        <v>5212</v>
      </c>
      <c r="H11" s="9">
        <f t="shared" si="0"/>
        <v>92</v>
      </c>
      <c r="I11" s="8">
        <v>5120</v>
      </c>
      <c r="J11" s="10" t="s">
        <v>58</v>
      </c>
      <c r="K11" s="11">
        <v>24</v>
      </c>
      <c r="L11" s="11">
        <v>7439394</v>
      </c>
      <c r="M11" s="11">
        <v>2687234</v>
      </c>
      <c r="N11" s="11">
        <v>71250</v>
      </c>
      <c r="O11" s="11">
        <v>4752160</v>
      </c>
      <c r="P11" s="11">
        <v>7</v>
      </c>
      <c r="Q11" s="11">
        <v>1738745</v>
      </c>
      <c r="R11" s="7" t="s">
        <v>77</v>
      </c>
      <c r="S11" s="12" t="s">
        <v>60</v>
      </c>
    </row>
    <row r="12" spans="1:19" ht="25.75">
      <c r="A12" s="13">
        <v>35</v>
      </c>
      <c r="B12" s="13" t="s">
        <v>55</v>
      </c>
      <c r="C12" s="13" t="s">
        <v>56</v>
      </c>
      <c r="D12" s="13" t="s">
        <v>78</v>
      </c>
      <c r="E12" s="13" t="s">
        <v>78</v>
      </c>
      <c r="F12" s="14">
        <v>6451</v>
      </c>
      <c r="G12" s="14">
        <v>6462</v>
      </c>
      <c r="H12" s="15">
        <f t="shared" si="0"/>
        <v>11</v>
      </c>
      <c r="I12" s="14">
        <v>6462</v>
      </c>
      <c r="J12" s="18" t="s">
        <v>79</v>
      </c>
      <c r="K12" s="16">
        <v>2</v>
      </c>
      <c r="L12" s="16">
        <v>1503040</v>
      </c>
      <c r="M12" s="16">
        <v>1503040</v>
      </c>
      <c r="N12" s="16">
        <v>0</v>
      </c>
      <c r="O12" s="16">
        <v>0</v>
      </c>
      <c r="P12" s="16">
        <v>2</v>
      </c>
      <c r="Q12" s="16">
        <v>1503040</v>
      </c>
      <c r="R12" s="13" t="s">
        <v>80</v>
      </c>
      <c r="S12" s="17" t="s">
        <v>81</v>
      </c>
    </row>
    <row r="13" spans="1:19" ht="25.75">
      <c r="A13" s="7">
        <v>3</v>
      </c>
      <c r="B13" s="7" t="s">
        <v>75</v>
      </c>
      <c r="C13" s="7" t="s">
        <v>56</v>
      </c>
      <c r="D13" s="7" t="s">
        <v>82</v>
      </c>
      <c r="E13" s="7" t="s">
        <v>82</v>
      </c>
      <c r="F13" s="8">
        <v>4173</v>
      </c>
      <c r="G13" s="8">
        <v>4119</v>
      </c>
      <c r="H13" s="9">
        <f t="shared" si="0"/>
        <v>-54</v>
      </c>
      <c r="I13" s="8">
        <v>4173</v>
      </c>
      <c r="J13" s="10" t="s">
        <v>58</v>
      </c>
      <c r="K13" s="11">
        <v>17</v>
      </c>
      <c r="L13" s="11">
        <v>3460857</v>
      </c>
      <c r="M13" s="11">
        <v>1715334</v>
      </c>
      <c r="N13" s="11">
        <v>0</v>
      </c>
      <c r="O13" s="11">
        <v>1745523</v>
      </c>
      <c r="P13" s="11">
        <v>16</v>
      </c>
      <c r="Q13" s="11">
        <v>2663154</v>
      </c>
      <c r="R13" s="7" t="s">
        <v>83</v>
      </c>
      <c r="S13" s="12" t="s">
        <v>60</v>
      </c>
    </row>
    <row r="14" spans="1:19" ht="25.75">
      <c r="A14" s="13">
        <v>32</v>
      </c>
      <c r="B14" s="13" t="s">
        <v>55</v>
      </c>
      <c r="C14" s="13" t="s">
        <v>56</v>
      </c>
      <c r="D14" s="13" t="s">
        <v>84</v>
      </c>
      <c r="E14" s="13" t="s">
        <v>84</v>
      </c>
      <c r="F14" s="14">
        <v>5896</v>
      </c>
      <c r="G14" s="14">
        <v>5916</v>
      </c>
      <c r="H14" s="15">
        <f t="shared" si="0"/>
        <v>20</v>
      </c>
      <c r="I14" s="14">
        <v>5896</v>
      </c>
      <c r="J14" s="19" t="s">
        <v>85</v>
      </c>
      <c r="K14" s="16">
        <v>8</v>
      </c>
      <c r="L14" s="16">
        <v>4510536</v>
      </c>
      <c r="M14" s="16">
        <v>1851111</v>
      </c>
      <c r="N14" s="16">
        <v>0</v>
      </c>
      <c r="O14" s="16">
        <v>2659425</v>
      </c>
      <c r="P14" s="16">
        <v>20</v>
      </c>
      <c r="Q14" s="16">
        <v>7116620</v>
      </c>
      <c r="R14" s="13" t="s">
        <v>86</v>
      </c>
      <c r="S14" s="17" t="s">
        <v>87</v>
      </c>
    </row>
    <row r="15" spans="1:19" ht="25.75">
      <c r="A15" s="7">
        <v>9</v>
      </c>
      <c r="B15" s="7" t="s">
        <v>72</v>
      </c>
      <c r="C15" s="7" t="s">
        <v>56</v>
      </c>
      <c r="D15" s="7" t="s">
        <v>65</v>
      </c>
      <c r="E15" s="7" t="s">
        <v>88</v>
      </c>
      <c r="F15" s="8">
        <v>4557</v>
      </c>
      <c r="G15" s="8">
        <v>4530</v>
      </c>
      <c r="H15" s="9">
        <f t="shared" si="0"/>
        <v>-27</v>
      </c>
      <c r="I15" s="8">
        <v>4557</v>
      </c>
      <c r="J15" s="10" t="s">
        <v>58</v>
      </c>
      <c r="K15" s="11">
        <v>19</v>
      </c>
      <c r="L15" s="11">
        <v>1740087</v>
      </c>
      <c r="M15" s="11">
        <v>1272843</v>
      </c>
      <c r="N15" s="11">
        <v>38424</v>
      </c>
      <c r="O15" s="11">
        <v>467244</v>
      </c>
      <c r="P15" s="11">
        <v>44</v>
      </c>
      <c r="Q15" s="11">
        <v>3162595</v>
      </c>
      <c r="R15" s="7" t="s">
        <v>89</v>
      </c>
      <c r="S15" s="12" t="s">
        <v>60</v>
      </c>
    </row>
    <row r="16" spans="1:19" ht="25.75">
      <c r="A16" s="13">
        <v>16</v>
      </c>
      <c r="B16" s="13" t="s">
        <v>64</v>
      </c>
      <c r="C16" s="13" t="s">
        <v>56</v>
      </c>
      <c r="D16" s="13" t="s">
        <v>90</v>
      </c>
      <c r="E16" s="13" t="s">
        <v>90</v>
      </c>
      <c r="F16" s="14">
        <v>4224</v>
      </c>
      <c r="G16" s="14">
        <v>4165</v>
      </c>
      <c r="H16" s="15">
        <f t="shared" si="0"/>
        <v>-59</v>
      </c>
      <c r="I16" s="14">
        <v>4224</v>
      </c>
      <c r="J16" s="10" t="s">
        <v>58</v>
      </c>
      <c r="K16" s="16">
        <v>10</v>
      </c>
      <c r="L16" s="16">
        <v>1537544</v>
      </c>
      <c r="M16" s="16">
        <v>1130162</v>
      </c>
      <c r="N16" s="16">
        <v>0</v>
      </c>
      <c r="O16" s="16">
        <v>407382</v>
      </c>
      <c r="P16" s="16">
        <v>3</v>
      </c>
      <c r="Q16" s="16">
        <v>504192</v>
      </c>
      <c r="R16" s="13" t="s">
        <v>91</v>
      </c>
      <c r="S16" s="17" t="s">
        <v>60</v>
      </c>
    </row>
    <row r="17" spans="1:19" ht="25.75">
      <c r="A17" s="7">
        <v>27</v>
      </c>
      <c r="B17" s="7" t="s">
        <v>61</v>
      </c>
      <c r="C17" s="7" t="s">
        <v>56</v>
      </c>
      <c r="D17" s="7" t="s">
        <v>92</v>
      </c>
      <c r="E17" s="7" t="s">
        <v>92</v>
      </c>
      <c r="F17" s="8">
        <v>5248</v>
      </c>
      <c r="G17" s="8">
        <v>5337</v>
      </c>
      <c r="H17" s="9">
        <f t="shared" si="0"/>
        <v>89</v>
      </c>
      <c r="I17" s="8">
        <v>5248</v>
      </c>
      <c r="J17" s="10" t="s">
        <v>58</v>
      </c>
      <c r="K17" s="11">
        <v>19</v>
      </c>
      <c r="L17" s="11">
        <v>2002665</v>
      </c>
      <c r="M17" s="11">
        <v>1177382</v>
      </c>
      <c r="N17" s="11">
        <v>0</v>
      </c>
      <c r="O17" s="11">
        <v>825283</v>
      </c>
      <c r="P17" s="11">
        <v>7</v>
      </c>
      <c r="Q17" s="11">
        <v>1380774</v>
      </c>
      <c r="R17" s="7" t="s">
        <v>93</v>
      </c>
      <c r="S17" s="12" t="s">
        <v>60</v>
      </c>
    </row>
    <row r="18" spans="1:19" ht="25.75">
      <c r="A18" s="13">
        <v>11</v>
      </c>
      <c r="B18" s="13" t="s">
        <v>72</v>
      </c>
      <c r="C18" s="13" t="s">
        <v>56</v>
      </c>
      <c r="D18" s="13" t="s">
        <v>70</v>
      </c>
      <c r="E18" s="13" t="s">
        <v>94</v>
      </c>
      <c r="F18" s="14">
        <v>5043</v>
      </c>
      <c r="G18" s="14">
        <v>5100</v>
      </c>
      <c r="H18" s="15">
        <f t="shared" si="0"/>
        <v>57</v>
      </c>
      <c r="I18" s="14">
        <v>5043</v>
      </c>
      <c r="J18" s="10" t="s">
        <v>58</v>
      </c>
      <c r="K18" s="16">
        <v>12</v>
      </c>
      <c r="L18" s="16">
        <v>2303705</v>
      </c>
      <c r="M18" s="16">
        <v>1060593</v>
      </c>
      <c r="N18" s="16">
        <v>0</v>
      </c>
      <c r="O18" s="16">
        <v>1243112</v>
      </c>
      <c r="P18" s="16">
        <v>7</v>
      </c>
      <c r="Q18" s="16">
        <v>1748647</v>
      </c>
      <c r="R18" s="13" t="s">
        <v>95</v>
      </c>
      <c r="S18" s="17" t="s">
        <v>60</v>
      </c>
    </row>
    <row r="19" spans="1:19" ht="25.75">
      <c r="A19" s="7">
        <v>31</v>
      </c>
      <c r="B19" s="7" t="s">
        <v>55</v>
      </c>
      <c r="C19" s="7" t="s">
        <v>56</v>
      </c>
      <c r="D19" s="7" t="s">
        <v>96</v>
      </c>
      <c r="E19" s="7" t="s">
        <v>96</v>
      </c>
      <c r="F19" s="8">
        <v>5632</v>
      </c>
      <c r="G19" s="8">
        <v>5564</v>
      </c>
      <c r="H19" s="9">
        <f t="shared" si="0"/>
        <v>-68</v>
      </c>
      <c r="I19" s="8">
        <v>5632</v>
      </c>
      <c r="J19" s="10" t="s">
        <v>58</v>
      </c>
      <c r="K19" s="11">
        <v>9</v>
      </c>
      <c r="L19" s="11">
        <v>2559088</v>
      </c>
      <c r="M19" s="11">
        <v>991891</v>
      </c>
      <c r="N19" s="11">
        <v>0</v>
      </c>
      <c r="O19" s="11">
        <v>1567197</v>
      </c>
      <c r="P19" s="11">
        <v>7</v>
      </c>
      <c r="Q19" s="11">
        <v>2046867</v>
      </c>
      <c r="R19" s="7" t="s">
        <v>97</v>
      </c>
      <c r="S19" s="12" t="s">
        <v>60</v>
      </c>
    </row>
    <row r="20" spans="1:19" ht="25.75">
      <c r="A20" s="13">
        <v>8</v>
      </c>
      <c r="B20" s="13" t="s">
        <v>72</v>
      </c>
      <c r="C20" s="13" t="s">
        <v>56</v>
      </c>
      <c r="D20" s="13" t="s">
        <v>90</v>
      </c>
      <c r="E20" s="13" t="s">
        <v>98</v>
      </c>
      <c r="F20" s="14">
        <v>4224</v>
      </c>
      <c r="G20" s="14">
        <v>4223</v>
      </c>
      <c r="H20" s="15">
        <f t="shared" si="0"/>
        <v>-1</v>
      </c>
      <c r="I20" s="14">
        <v>4224</v>
      </c>
      <c r="J20" s="10" t="s">
        <v>58</v>
      </c>
      <c r="K20" s="16">
        <v>2</v>
      </c>
      <c r="L20" s="16">
        <v>345722</v>
      </c>
      <c r="M20" s="16">
        <v>345722</v>
      </c>
      <c r="N20" s="16">
        <v>0</v>
      </c>
      <c r="O20" s="16">
        <v>0</v>
      </c>
      <c r="P20" s="16">
        <v>16</v>
      </c>
      <c r="Q20" s="16">
        <v>823225</v>
      </c>
      <c r="R20" s="13" t="s">
        <v>99</v>
      </c>
      <c r="S20" s="17" t="s">
        <v>60</v>
      </c>
    </row>
    <row r="21" spans="1:19" ht="25.75">
      <c r="A21" s="7">
        <v>4</v>
      </c>
      <c r="B21" s="7" t="s">
        <v>75</v>
      </c>
      <c r="C21" s="7" t="s">
        <v>56</v>
      </c>
      <c r="D21" s="7" t="s">
        <v>100</v>
      </c>
      <c r="E21" s="7" t="s">
        <v>100</v>
      </c>
      <c r="F21" s="8">
        <v>4557</v>
      </c>
      <c r="G21" s="8">
        <v>4646</v>
      </c>
      <c r="H21" s="9">
        <f t="shared" si="0"/>
        <v>89</v>
      </c>
      <c r="I21" s="8">
        <v>4557</v>
      </c>
      <c r="J21" s="10" t="s">
        <v>58</v>
      </c>
      <c r="K21" s="11">
        <v>29</v>
      </c>
      <c r="L21" s="11">
        <v>2666137</v>
      </c>
      <c r="M21" s="11">
        <v>1087026</v>
      </c>
      <c r="N21" s="11">
        <v>349038</v>
      </c>
      <c r="O21" s="11">
        <v>1579111</v>
      </c>
      <c r="P21" s="11">
        <v>13</v>
      </c>
      <c r="Q21" s="11">
        <v>1743986</v>
      </c>
      <c r="R21" s="7" t="s">
        <v>101</v>
      </c>
      <c r="S21" s="12" t="s">
        <v>60</v>
      </c>
    </row>
    <row r="22" spans="1:19" ht="25.75">
      <c r="A22" s="13">
        <v>24</v>
      </c>
      <c r="B22" s="13" t="s">
        <v>61</v>
      </c>
      <c r="C22" s="13" t="s">
        <v>56</v>
      </c>
      <c r="D22" s="13" t="s">
        <v>102</v>
      </c>
      <c r="E22" s="13" t="s">
        <v>102</v>
      </c>
      <c r="F22" s="14">
        <v>4634</v>
      </c>
      <c r="G22" s="14">
        <v>4627</v>
      </c>
      <c r="H22" s="15">
        <f t="shared" si="0"/>
        <v>-7</v>
      </c>
      <c r="I22" s="14">
        <v>4634</v>
      </c>
      <c r="J22" s="10" t="s">
        <v>58</v>
      </c>
      <c r="K22" s="16">
        <v>9</v>
      </c>
      <c r="L22" s="16">
        <v>1483604</v>
      </c>
      <c r="M22" s="16">
        <v>900050</v>
      </c>
      <c r="N22" s="16">
        <v>409872</v>
      </c>
      <c r="O22" s="16">
        <v>583554</v>
      </c>
      <c r="P22" s="16">
        <v>42</v>
      </c>
      <c r="Q22" s="16">
        <v>17919809</v>
      </c>
      <c r="R22" s="13" t="s">
        <v>103</v>
      </c>
      <c r="S22" s="17" t="s">
        <v>60</v>
      </c>
    </row>
    <row r="23" spans="1:19">
      <c r="A23" s="7">
        <v>20</v>
      </c>
      <c r="B23" s="7" t="s">
        <v>64</v>
      </c>
      <c r="C23" s="7" t="s">
        <v>56</v>
      </c>
      <c r="D23" s="7" t="s">
        <v>104</v>
      </c>
      <c r="E23" s="7" t="s">
        <v>104</v>
      </c>
      <c r="F23" s="8">
        <v>5197</v>
      </c>
      <c r="G23" s="8">
        <v>5268</v>
      </c>
      <c r="H23" s="9">
        <f t="shared" si="0"/>
        <v>71</v>
      </c>
      <c r="I23" s="8">
        <v>5197</v>
      </c>
      <c r="J23" s="20" t="s">
        <v>105</v>
      </c>
      <c r="K23" s="11">
        <v>28</v>
      </c>
      <c r="L23" s="11">
        <v>751858</v>
      </c>
      <c r="M23" s="11">
        <v>248262</v>
      </c>
      <c r="N23" s="11">
        <v>0</v>
      </c>
      <c r="O23" s="11">
        <v>503596</v>
      </c>
      <c r="P23" s="11">
        <v>23</v>
      </c>
      <c r="Q23" s="11">
        <v>733843</v>
      </c>
      <c r="R23" s="7" t="s">
        <v>106</v>
      </c>
      <c r="S23" s="12" t="s">
        <v>107</v>
      </c>
    </row>
    <row r="24" spans="1:19" ht="25.75">
      <c r="A24" s="13">
        <v>2</v>
      </c>
      <c r="B24" s="13" t="s">
        <v>75</v>
      </c>
      <c r="C24" s="13" t="s">
        <v>56</v>
      </c>
      <c r="D24" s="13" t="s">
        <v>108</v>
      </c>
      <c r="E24" s="13" t="s">
        <v>108</v>
      </c>
      <c r="F24" s="14">
        <v>3635</v>
      </c>
      <c r="G24" s="14">
        <v>3729</v>
      </c>
      <c r="H24" s="15">
        <f t="shared" si="0"/>
        <v>94</v>
      </c>
      <c r="I24" s="14">
        <v>3635</v>
      </c>
      <c r="J24" s="10" t="s">
        <v>58</v>
      </c>
      <c r="K24" s="16">
        <v>17</v>
      </c>
      <c r="L24" s="16">
        <v>1251987</v>
      </c>
      <c r="M24" s="16">
        <v>323975</v>
      </c>
      <c r="N24" s="16">
        <v>18055</v>
      </c>
      <c r="O24" s="16">
        <v>928012</v>
      </c>
      <c r="P24" s="16">
        <v>8</v>
      </c>
      <c r="Q24" s="16">
        <v>578110</v>
      </c>
      <c r="R24" s="13" t="s">
        <v>109</v>
      </c>
      <c r="S24" s="17" t="s">
        <v>60</v>
      </c>
    </row>
    <row r="25" spans="1:19">
      <c r="A25" s="7">
        <v>5</v>
      </c>
      <c r="B25" s="7" t="s">
        <v>75</v>
      </c>
      <c r="C25" s="7" t="s">
        <v>56</v>
      </c>
      <c r="D25" s="7" t="s">
        <v>110</v>
      </c>
      <c r="E25" s="7" t="s">
        <v>110</v>
      </c>
      <c r="F25" s="8">
        <v>4864</v>
      </c>
      <c r="G25" s="8">
        <v>4869</v>
      </c>
      <c r="H25" s="9">
        <f t="shared" si="0"/>
        <v>5</v>
      </c>
      <c r="I25" s="8">
        <v>4864</v>
      </c>
      <c r="J25" s="20" t="s">
        <v>105</v>
      </c>
      <c r="K25" s="11">
        <v>2</v>
      </c>
      <c r="L25" s="11">
        <v>77503</v>
      </c>
      <c r="M25" s="11">
        <v>54675</v>
      </c>
      <c r="N25" s="11">
        <v>0</v>
      </c>
      <c r="O25" s="11">
        <v>22828</v>
      </c>
      <c r="P25" s="11">
        <v>16</v>
      </c>
      <c r="Q25" s="11">
        <v>4567856</v>
      </c>
      <c r="R25" s="7" t="s">
        <v>111</v>
      </c>
      <c r="S25" s="12" t="s">
        <v>107</v>
      </c>
    </row>
    <row r="26" spans="1:19">
      <c r="A26" s="13">
        <v>21</v>
      </c>
      <c r="B26" s="13" t="s">
        <v>64</v>
      </c>
      <c r="C26" s="13" t="s">
        <v>56</v>
      </c>
      <c r="D26" s="13" t="s">
        <v>112</v>
      </c>
      <c r="E26" s="13" t="s">
        <v>112</v>
      </c>
      <c r="F26" s="14">
        <v>5400</v>
      </c>
      <c r="G26" s="14">
        <v>5469</v>
      </c>
      <c r="H26" s="15">
        <f t="shared" si="0"/>
        <v>69</v>
      </c>
      <c r="I26" s="14">
        <v>5400</v>
      </c>
      <c r="J26" s="20" t="s">
        <v>105</v>
      </c>
      <c r="K26" s="16">
        <v>2</v>
      </c>
      <c r="L26" s="16">
        <v>47588</v>
      </c>
      <c r="M26" s="16">
        <v>47588</v>
      </c>
      <c r="N26" s="16">
        <v>0</v>
      </c>
      <c r="O26" s="16">
        <v>0</v>
      </c>
      <c r="P26" s="16">
        <v>3</v>
      </c>
      <c r="Q26" s="16">
        <v>177095</v>
      </c>
      <c r="R26" s="13" t="s">
        <v>113</v>
      </c>
      <c r="S26" s="17" t="s">
        <v>107</v>
      </c>
    </row>
    <row r="27" spans="1:19">
      <c r="A27" s="7">
        <v>40</v>
      </c>
      <c r="B27" s="7" t="s">
        <v>72</v>
      </c>
      <c r="C27" s="7" t="s">
        <v>114</v>
      </c>
      <c r="D27" s="7" t="s">
        <v>115</v>
      </c>
      <c r="E27" s="7" t="s">
        <v>116</v>
      </c>
      <c r="F27" s="8">
        <v>5500</v>
      </c>
      <c r="G27" s="8">
        <v>5501</v>
      </c>
      <c r="H27" s="9">
        <f t="shared" si="0"/>
        <v>1</v>
      </c>
      <c r="I27" s="8">
        <v>5500</v>
      </c>
      <c r="J27" s="20" t="s">
        <v>105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41</v>
      </c>
      <c r="Q27" s="11">
        <v>3579292</v>
      </c>
      <c r="R27" s="7"/>
      <c r="S27" s="12" t="s">
        <v>117</v>
      </c>
    </row>
    <row r="28" spans="1:19">
      <c r="A28" s="13">
        <v>14</v>
      </c>
      <c r="B28" s="13" t="s">
        <v>72</v>
      </c>
      <c r="C28" s="13" t="s">
        <v>56</v>
      </c>
      <c r="D28" s="13" t="s">
        <v>118</v>
      </c>
      <c r="E28" s="13" t="s">
        <v>119</v>
      </c>
      <c r="F28" s="14">
        <v>5581</v>
      </c>
      <c r="G28" s="14">
        <v>5578</v>
      </c>
      <c r="H28" s="15">
        <f t="shared" si="0"/>
        <v>-3</v>
      </c>
      <c r="I28" s="14">
        <v>5581</v>
      </c>
      <c r="J28" s="20" t="s">
        <v>105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2</v>
      </c>
      <c r="Q28" s="16">
        <v>1875</v>
      </c>
      <c r="R28" s="13"/>
      <c r="S28" s="17" t="s">
        <v>107</v>
      </c>
    </row>
    <row r="29" spans="1:19">
      <c r="A29" s="7">
        <v>42</v>
      </c>
      <c r="B29" s="7" t="s">
        <v>64</v>
      </c>
      <c r="C29" s="7" t="s">
        <v>114</v>
      </c>
      <c r="D29" s="7" t="s">
        <v>120</v>
      </c>
      <c r="E29" s="7" t="s">
        <v>121</v>
      </c>
      <c r="F29" s="8">
        <v>5000</v>
      </c>
      <c r="G29" s="8">
        <v>4996</v>
      </c>
      <c r="H29" s="9">
        <f t="shared" si="0"/>
        <v>-4</v>
      </c>
      <c r="I29" s="8">
        <v>5000</v>
      </c>
      <c r="J29" s="20" t="s">
        <v>105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28</v>
      </c>
      <c r="Q29" s="11">
        <v>3548908</v>
      </c>
      <c r="R29" s="7"/>
      <c r="S29" s="12" t="s">
        <v>117</v>
      </c>
    </row>
    <row r="30" spans="1:19">
      <c r="A30" s="13">
        <v>33</v>
      </c>
      <c r="B30" s="13" t="s">
        <v>55</v>
      </c>
      <c r="C30" s="13" t="s">
        <v>56</v>
      </c>
      <c r="D30" s="13" t="s">
        <v>122</v>
      </c>
      <c r="E30" s="13" t="s">
        <v>122</v>
      </c>
      <c r="F30" s="14">
        <v>6195</v>
      </c>
      <c r="G30" s="14">
        <v>6199</v>
      </c>
      <c r="H30" s="15">
        <f t="shared" si="0"/>
        <v>4</v>
      </c>
      <c r="I30" s="14">
        <v>6195</v>
      </c>
      <c r="J30" s="20" t="s">
        <v>105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7</v>
      </c>
      <c r="Q30" s="16">
        <v>3817860</v>
      </c>
      <c r="R30" s="13"/>
      <c r="S30" s="17" t="s">
        <v>107</v>
      </c>
    </row>
    <row r="31" spans="1:19">
      <c r="A31" s="7">
        <v>26</v>
      </c>
      <c r="B31" s="7" t="s">
        <v>61</v>
      </c>
      <c r="C31" s="7" t="s">
        <v>56</v>
      </c>
      <c r="D31" s="7" t="s">
        <v>123</v>
      </c>
      <c r="E31" s="7" t="s">
        <v>123</v>
      </c>
      <c r="F31" s="8">
        <v>5018</v>
      </c>
      <c r="G31" s="8">
        <v>5014</v>
      </c>
      <c r="H31" s="9">
        <f t="shared" si="0"/>
        <v>-4</v>
      </c>
      <c r="I31" s="8">
        <v>5018</v>
      </c>
      <c r="J31" s="20" t="s">
        <v>105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40</v>
      </c>
      <c r="Q31" s="11">
        <v>5766408</v>
      </c>
      <c r="R31" s="7"/>
      <c r="S31" s="12" t="s">
        <v>107</v>
      </c>
    </row>
    <row r="32" spans="1:19">
      <c r="A32" s="13">
        <v>39</v>
      </c>
      <c r="B32" s="13" t="s">
        <v>72</v>
      </c>
      <c r="C32" s="13" t="s">
        <v>114</v>
      </c>
      <c r="D32" s="13" t="s">
        <v>120</v>
      </c>
      <c r="E32" s="13" t="s">
        <v>124</v>
      </c>
      <c r="F32" s="14">
        <v>5000</v>
      </c>
      <c r="G32" s="14">
        <v>4996</v>
      </c>
      <c r="H32" s="15">
        <f t="shared" si="0"/>
        <v>-4</v>
      </c>
      <c r="I32" s="14">
        <v>5000</v>
      </c>
      <c r="J32" s="20" t="s">
        <v>105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24</v>
      </c>
      <c r="Q32" s="16">
        <v>4151110</v>
      </c>
      <c r="R32" s="13"/>
      <c r="S32" s="17" t="s">
        <v>117</v>
      </c>
    </row>
    <row r="33" spans="1:19">
      <c r="A33" s="7">
        <v>43</v>
      </c>
      <c r="B33" s="7" t="s">
        <v>64</v>
      </c>
      <c r="C33" s="7" t="s">
        <v>114</v>
      </c>
      <c r="D33" s="7" t="s">
        <v>115</v>
      </c>
      <c r="E33" s="7" t="s">
        <v>115</v>
      </c>
      <c r="F33" s="8">
        <v>5500</v>
      </c>
      <c r="G33" s="8">
        <v>5494</v>
      </c>
      <c r="H33" s="9">
        <f t="shared" si="0"/>
        <v>-6</v>
      </c>
      <c r="I33" s="8">
        <v>5500</v>
      </c>
      <c r="J33" s="20" t="s">
        <v>105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22</v>
      </c>
      <c r="Q33" s="11">
        <v>2119123</v>
      </c>
      <c r="R33" s="7"/>
      <c r="S33" s="12" t="s">
        <v>117</v>
      </c>
    </row>
    <row r="34" spans="1:19">
      <c r="A34" s="13">
        <v>28</v>
      </c>
      <c r="B34" s="13" t="s">
        <v>61</v>
      </c>
      <c r="C34" s="13" t="s">
        <v>56</v>
      </c>
      <c r="D34" s="13" t="s">
        <v>125</v>
      </c>
      <c r="E34" s="13" t="s">
        <v>125</v>
      </c>
      <c r="F34" s="14">
        <v>5478</v>
      </c>
      <c r="G34" s="14">
        <v>5461</v>
      </c>
      <c r="H34" s="15">
        <f t="shared" si="0"/>
        <v>-17</v>
      </c>
      <c r="I34" s="14">
        <v>5478</v>
      </c>
      <c r="J34" s="20" t="s">
        <v>105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1</v>
      </c>
      <c r="Q34" s="16">
        <v>0</v>
      </c>
      <c r="R34" s="13"/>
      <c r="S34" s="17" t="s">
        <v>107</v>
      </c>
    </row>
    <row r="35" spans="1:19">
      <c r="A35" s="7">
        <v>37</v>
      </c>
      <c r="B35" s="7" t="s">
        <v>55</v>
      </c>
      <c r="C35" s="7" t="s">
        <v>126</v>
      </c>
      <c r="D35" s="7" t="s">
        <v>127</v>
      </c>
      <c r="E35" s="7" t="s">
        <v>127</v>
      </c>
      <c r="F35" s="8">
        <v>6000</v>
      </c>
      <c r="G35" s="8">
        <v>6029</v>
      </c>
      <c r="H35" s="9">
        <f t="shared" si="0"/>
        <v>29</v>
      </c>
      <c r="I35" s="8">
        <v>6000</v>
      </c>
      <c r="J35" s="20" t="s">
        <v>105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2</v>
      </c>
      <c r="Q35" s="11">
        <v>704389</v>
      </c>
      <c r="R35" s="7"/>
      <c r="S35" s="12" t="s">
        <v>107</v>
      </c>
    </row>
    <row r="36" spans="1:19">
      <c r="A36" s="13">
        <v>12</v>
      </c>
      <c r="B36" s="13" t="s">
        <v>72</v>
      </c>
      <c r="C36" s="13" t="s">
        <v>56</v>
      </c>
      <c r="D36" s="13" t="s">
        <v>104</v>
      </c>
      <c r="E36" s="13" t="s">
        <v>128</v>
      </c>
      <c r="F36" s="14">
        <v>5197</v>
      </c>
      <c r="G36" s="14">
        <v>5239</v>
      </c>
      <c r="H36" s="15">
        <f t="shared" si="0"/>
        <v>42</v>
      </c>
      <c r="I36" s="14">
        <v>5197</v>
      </c>
      <c r="J36" s="20" t="s">
        <v>105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3</v>
      </c>
      <c r="Q36" s="16">
        <v>48345</v>
      </c>
      <c r="R36" s="13"/>
      <c r="S36" s="17" t="s">
        <v>107</v>
      </c>
    </row>
    <row r="37" spans="1:19">
      <c r="A37" s="7">
        <v>13</v>
      </c>
      <c r="B37" s="7" t="s">
        <v>72</v>
      </c>
      <c r="C37" s="7" t="s">
        <v>56</v>
      </c>
      <c r="D37" s="7" t="s">
        <v>112</v>
      </c>
      <c r="E37" s="7" t="s">
        <v>129</v>
      </c>
      <c r="F37" s="8">
        <v>5400</v>
      </c>
      <c r="G37" s="8">
        <v>5485</v>
      </c>
      <c r="H37" s="9">
        <f t="shared" si="0"/>
        <v>85</v>
      </c>
      <c r="I37" s="8">
        <v>5400</v>
      </c>
      <c r="J37" s="20" t="s">
        <v>105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2</v>
      </c>
      <c r="Q37" s="11">
        <v>1875</v>
      </c>
      <c r="R37" s="7"/>
      <c r="S37" s="12" t="s">
        <v>107</v>
      </c>
    </row>
  </sheetData>
  <mergeCells count="2">
    <mergeCell ref="A2:S2"/>
    <mergeCell ref="A1:S1"/>
  </mergeCells>
  <phoneticPr fontId="15" type="noConversion"/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84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8" customWidth="1"/>
    <col min="2" max="4" width="8" customWidth="1"/>
    <col min="5" max="5" width="12.4609375" customWidth="1"/>
    <col min="6" max="6" width="42" customWidth="1"/>
    <col min="7" max="7" width="10.3828125" customWidth="1"/>
    <col min="8" max="8" width="21.921875" customWidth="1"/>
    <col min="9" max="9" width="34" customWidth="1"/>
  </cols>
  <sheetData>
    <row r="1" spans="1:9" ht="32.049999999999997" customHeight="1">
      <c r="A1" s="31" t="s">
        <v>130</v>
      </c>
      <c r="B1" s="26"/>
      <c r="C1" s="26"/>
      <c r="D1" s="26"/>
      <c r="E1" s="26"/>
      <c r="F1" s="26"/>
      <c r="G1" s="26"/>
      <c r="H1" s="26"/>
      <c r="I1" s="26"/>
    </row>
    <row r="2" spans="1:9" ht="28" customHeight="1">
      <c r="A2" s="34" t="s">
        <v>131</v>
      </c>
      <c r="B2" s="26"/>
      <c r="C2" s="26"/>
      <c r="D2" s="26"/>
      <c r="E2" s="26"/>
      <c r="F2" s="26"/>
      <c r="G2" s="26"/>
      <c r="H2" s="26"/>
      <c r="I2" s="26"/>
    </row>
    <row r="4" spans="1:9" ht="32.049999999999997" customHeight="1">
      <c r="A4" s="6" t="s">
        <v>132</v>
      </c>
      <c r="B4" s="6" t="s">
        <v>37</v>
      </c>
      <c r="C4" s="6" t="s">
        <v>38</v>
      </c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  <c r="I4" s="6" t="s">
        <v>138</v>
      </c>
    </row>
    <row r="5" spans="1:9">
      <c r="A5" s="7" t="s">
        <v>139</v>
      </c>
      <c r="B5" s="7" t="s">
        <v>64</v>
      </c>
      <c r="C5" s="7" t="s">
        <v>56</v>
      </c>
      <c r="D5" s="7">
        <v>9</v>
      </c>
      <c r="E5" s="11">
        <v>13023016</v>
      </c>
      <c r="F5" s="7" t="s">
        <v>140</v>
      </c>
      <c r="G5" s="7" t="s">
        <v>70</v>
      </c>
      <c r="H5" s="21">
        <v>0.93707087513368637</v>
      </c>
      <c r="I5" s="12" t="s">
        <v>141</v>
      </c>
    </row>
    <row r="6" spans="1:9">
      <c r="A6" s="13" t="s">
        <v>142</v>
      </c>
      <c r="B6" s="13" t="s">
        <v>64</v>
      </c>
      <c r="C6" s="13" t="s">
        <v>56</v>
      </c>
      <c r="D6" s="13">
        <v>11</v>
      </c>
      <c r="E6" s="16">
        <v>9357600</v>
      </c>
      <c r="F6" s="13" t="s">
        <v>143</v>
      </c>
      <c r="G6" s="13" t="s">
        <v>65</v>
      </c>
      <c r="H6" s="22">
        <v>0.62639501581602119</v>
      </c>
      <c r="I6" s="17" t="s">
        <v>141</v>
      </c>
    </row>
    <row r="7" spans="1:9">
      <c r="A7" s="7" t="s">
        <v>144</v>
      </c>
      <c r="B7" s="7" t="s">
        <v>64</v>
      </c>
      <c r="C7" s="7" t="s">
        <v>56</v>
      </c>
      <c r="D7" s="7">
        <v>10</v>
      </c>
      <c r="E7" s="11">
        <v>7633025</v>
      </c>
      <c r="F7" s="7" t="s">
        <v>145</v>
      </c>
      <c r="G7" s="7" t="s">
        <v>70</v>
      </c>
      <c r="H7" s="21">
        <v>0.76226397791177158</v>
      </c>
      <c r="I7" s="12" t="s">
        <v>141</v>
      </c>
    </row>
    <row r="8" spans="1:9">
      <c r="A8" s="13" t="s">
        <v>146</v>
      </c>
      <c r="B8" s="13" t="s">
        <v>61</v>
      </c>
      <c r="C8" s="13" t="s">
        <v>56</v>
      </c>
      <c r="D8" s="13">
        <v>6</v>
      </c>
      <c r="E8" s="16">
        <v>7605681</v>
      </c>
      <c r="F8" s="13" t="s">
        <v>147</v>
      </c>
      <c r="G8" s="13" t="s">
        <v>102</v>
      </c>
      <c r="H8" s="22">
        <v>0.79041771538932548</v>
      </c>
      <c r="I8" s="17" t="s">
        <v>141</v>
      </c>
    </row>
    <row r="9" spans="1:9">
      <c r="A9" s="7" t="s">
        <v>148</v>
      </c>
      <c r="B9" s="7" t="s">
        <v>75</v>
      </c>
      <c r="C9" s="7" t="s">
        <v>56</v>
      </c>
      <c r="D9" s="7">
        <v>5</v>
      </c>
      <c r="E9" s="11">
        <v>7050961</v>
      </c>
      <c r="F9" s="7" t="s">
        <v>149</v>
      </c>
      <c r="G9" s="7" t="s">
        <v>110</v>
      </c>
      <c r="H9" s="21">
        <v>0.49275084630307842</v>
      </c>
      <c r="I9" s="12" t="s">
        <v>150</v>
      </c>
    </row>
    <row r="10" spans="1:9">
      <c r="A10" s="13" t="s">
        <v>151</v>
      </c>
      <c r="B10" s="13" t="s">
        <v>61</v>
      </c>
      <c r="C10" s="13" t="s">
        <v>56</v>
      </c>
      <c r="D10" s="13">
        <v>6</v>
      </c>
      <c r="E10" s="16">
        <v>7000215</v>
      </c>
      <c r="F10" s="13" t="s">
        <v>152</v>
      </c>
      <c r="G10" s="13" t="s">
        <v>102</v>
      </c>
      <c r="H10" s="22">
        <v>0.55221261061267402</v>
      </c>
      <c r="I10" s="17" t="s">
        <v>150</v>
      </c>
    </row>
    <row r="11" spans="1:9">
      <c r="A11" s="7" t="s">
        <v>153</v>
      </c>
      <c r="B11" s="7" t="s">
        <v>61</v>
      </c>
      <c r="C11" s="7" t="s">
        <v>56</v>
      </c>
      <c r="D11" s="7">
        <v>5</v>
      </c>
      <c r="E11" s="11">
        <v>6407578</v>
      </c>
      <c r="F11" s="7" t="s">
        <v>154</v>
      </c>
      <c r="G11" s="7" t="s">
        <v>102</v>
      </c>
      <c r="H11" s="21">
        <v>0.37393629855149629</v>
      </c>
      <c r="I11" s="12" t="s">
        <v>150</v>
      </c>
    </row>
    <row r="12" spans="1:9">
      <c r="A12" s="13" t="s">
        <v>155</v>
      </c>
      <c r="B12" s="13" t="s">
        <v>64</v>
      </c>
      <c r="C12" s="13" t="s">
        <v>56</v>
      </c>
      <c r="D12" s="13">
        <v>6</v>
      </c>
      <c r="E12" s="16">
        <v>6078484</v>
      </c>
      <c r="F12" s="13" t="s">
        <v>156</v>
      </c>
      <c r="G12" s="13" t="s">
        <v>70</v>
      </c>
      <c r="H12" s="22">
        <v>0.77999399192298602</v>
      </c>
      <c r="I12" s="17" t="s">
        <v>141</v>
      </c>
    </row>
    <row r="13" spans="1:9">
      <c r="A13" s="7" t="s">
        <v>157</v>
      </c>
      <c r="B13" s="7" t="s">
        <v>55</v>
      </c>
      <c r="C13" s="7" t="s">
        <v>56</v>
      </c>
      <c r="D13" s="7">
        <v>6</v>
      </c>
      <c r="E13" s="11">
        <v>5294367</v>
      </c>
      <c r="F13" s="7" t="s">
        <v>158</v>
      </c>
      <c r="G13" s="7" t="s">
        <v>84</v>
      </c>
      <c r="H13" s="21">
        <v>0.83370684351878133</v>
      </c>
      <c r="I13" s="12" t="s">
        <v>141</v>
      </c>
    </row>
    <row r="14" spans="1:9">
      <c r="A14" s="13" t="s">
        <v>159</v>
      </c>
      <c r="B14" s="13" t="s">
        <v>64</v>
      </c>
      <c r="C14" s="13" t="s">
        <v>56</v>
      </c>
      <c r="D14" s="13">
        <v>11</v>
      </c>
      <c r="E14" s="16">
        <v>5178627</v>
      </c>
      <c r="F14" s="13" t="s">
        <v>160</v>
      </c>
      <c r="G14" s="13" t="s">
        <v>65</v>
      </c>
      <c r="H14" s="22">
        <v>0.65924133945155738</v>
      </c>
      <c r="I14" s="17" t="s">
        <v>141</v>
      </c>
    </row>
    <row r="15" spans="1:9">
      <c r="A15" s="7" t="s">
        <v>161</v>
      </c>
      <c r="B15" s="7" t="s">
        <v>72</v>
      </c>
      <c r="C15" s="7" t="s">
        <v>56</v>
      </c>
      <c r="D15" s="7">
        <v>7</v>
      </c>
      <c r="E15" s="11">
        <v>4858828</v>
      </c>
      <c r="F15" s="7" t="s">
        <v>162</v>
      </c>
      <c r="G15" s="7" t="s">
        <v>70</v>
      </c>
      <c r="H15" s="21">
        <v>0.74333542986086354</v>
      </c>
      <c r="I15" s="12" t="s">
        <v>141</v>
      </c>
    </row>
    <row r="16" spans="1:9">
      <c r="A16" s="13" t="s">
        <v>163</v>
      </c>
      <c r="B16" s="13" t="s">
        <v>72</v>
      </c>
      <c r="C16" s="13" t="s">
        <v>56</v>
      </c>
      <c r="D16" s="13">
        <v>7</v>
      </c>
      <c r="E16" s="16">
        <v>4473399</v>
      </c>
      <c r="F16" s="13" t="s">
        <v>164</v>
      </c>
      <c r="G16" s="13" t="s">
        <v>67</v>
      </c>
      <c r="H16" s="22">
        <v>0.45046194180308979</v>
      </c>
      <c r="I16" s="17" t="s">
        <v>150</v>
      </c>
    </row>
    <row r="17" spans="1:9">
      <c r="A17" s="7" t="s">
        <v>165</v>
      </c>
      <c r="B17" s="7" t="s">
        <v>55</v>
      </c>
      <c r="C17" s="7" t="s">
        <v>56</v>
      </c>
      <c r="D17" s="7">
        <v>6</v>
      </c>
      <c r="E17" s="11">
        <v>4413957</v>
      </c>
      <c r="F17" s="7" t="s">
        <v>166</v>
      </c>
      <c r="G17" s="7" t="s">
        <v>96</v>
      </c>
      <c r="H17" s="21">
        <v>0.61694688008967913</v>
      </c>
      <c r="I17" s="12" t="s">
        <v>141</v>
      </c>
    </row>
    <row r="18" spans="1:9">
      <c r="A18" s="13" t="s">
        <v>167</v>
      </c>
      <c r="B18" s="13" t="s">
        <v>75</v>
      </c>
      <c r="C18" s="13" t="s">
        <v>56</v>
      </c>
      <c r="D18" s="13">
        <v>4</v>
      </c>
      <c r="E18" s="16">
        <v>4368902</v>
      </c>
      <c r="F18" s="13" t="s">
        <v>168</v>
      </c>
      <c r="G18" s="13" t="s">
        <v>110</v>
      </c>
      <c r="H18" s="22">
        <v>0.51410995256931835</v>
      </c>
      <c r="I18" s="17" t="s">
        <v>150</v>
      </c>
    </row>
    <row r="19" spans="1:9">
      <c r="A19" s="7" t="s">
        <v>169</v>
      </c>
      <c r="B19" s="7" t="s">
        <v>64</v>
      </c>
      <c r="C19" s="7" t="s">
        <v>56</v>
      </c>
      <c r="D19" s="7">
        <v>7</v>
      </c>
      <c r="E19" s="11">
        <v>4218799</v>
      </c>
      <c r="F19" s="7" t="s">
        <v>170</v>
      </c>
      <c r="G19" s="7" t="s">
        <v>67</v>
      </c>
      <c r="H19" s="21">
        <v>0.66983233853994939</v>
      </c>
      <c r="I19" s="12" t="s">
        <v>141</v>
      </c>
    </row>
    <row r="20" spans="1:9">
      <c r="A20" s="13" t="s">
        <v>171</v>
      </c>
      <c r="B20" s="13" t="s">
        <v>55</v>
      </c>
      <c r="C20" s="13" t="s">
        <v>56</v>
      </c>
      <c r="D20" s="13">
        <v>5</v>
      </c>
      <c r="E20" s="16">
        <v>4193107</v>
      </c>
      <c r="F20" s="13" t="s">
        <v>172</v>
      </c>
      <c r="G20" s="13" t="s">
        <v>122</v>
      </c>
      <c r="H20" s="22">
        <v>0.5658741835111768</v>
      </c>
      <c r="I20" s="17" t="s">
        <v>150</v>
      </c>
    </row>
    <row r="21" spans="1:9">
      <c r="A21" s="7" t="s">
        <v>80</v>
      </c>
      <c r="B21" s="7" t="s">
        <v>55</v>
      </c>
      <c r="C21" s="7" t="s">
        <v>56</v>
      </c>
      <c r="D21" s="7">
        <v>5</v>
      </c>
      <c r="E21" s="11">
        <v>4193098</v>
      </c>
      <c r="F21" s="7" t="s">
        <v>173</v>
      </c>
      <c r="G21" s="7" t="s">
        <v>78</v>
      </c>
      <c r="H21" s="21">
        <v>0.55827815138115067</v>
      </c>
      <c r="I21" s="12" t="s">
        <v>150</v>
      </c>
    </row>
    <row r="22" spans="1:9">
      <c r="A22" s="13" t="s">
        <v>174</v>
      </c>
      <c r="B22" s="13" t="s">
        <v>64</v>
      </c>
      <c r="C22" s="13" t="s">
        <v>114</v>
      </c>
      <c r="D22" s="13">
        <v>6</v>
      </c>
      <c r="E22" s="16">
        <v>4002938</v>
      </c>
      <c r="F22" s="13" t="s">
        <v>175</v>
      </c>
      <c r="G22" s="13" t="s">
        <v>115</v>
      </c>
      <c r="H22" s="22">
        <v>0.65332887993768574</v>
      </c>
      <c r="I22" s="17" t="s">
        <v>141</v>
      </c>
    </row>
    <row r="23" spans="1:9">
      <c r="A23" s="7" t="s">
        <v>176</v>
      </c>
      <c r="B23" s="7" t="s">
        <v>72</v>
      </c>
      <c r="C23" s="7" t="s">
        <v>56</v>
      </c>
      <c r="D23" s="7">
        <v>7</v>
      </c>
      <c r="E23" s="11">
        <v>3919913</v>
      </c>
      <c r="F23" s="7" t="s">
        <v>177</v>
      </c>
      <c r="G23" s="7" t="s">
        <v>65</v>
      </c>
      <c r="H23" s="21">
        <v>0.93908155614678179</v>
      </c>
      <c r="I23" s="12" t="s">
        <v>141</v>
      </c>
    </row>
    <row r="24" spans="1:9">
      <c r="A24" s="13" t="s">
        <v>178</v>
      </c>
      <c r="B24" s="13" t="s">
        <v>64</v>
      </c>
      <c r="C24" s="13" t="s">
        <v>56</v>
      </c>
      <c r="D24" s="13">
        <v>6</v>
      </c>
      <c r="E24" s="16">
        <v>3815725</v>
      </c>
      <c r="F24" s="13" t="s">
        <v>179</v>
      </c>
      <c r="G24" s="13" t="s">
        <v>70</v>
      </c>
      <c r="H24" s="22">
        <v>0.63730588551323797</v>
      </c>
      <c r="I24" s="17" t="s">
        <v>141</v>
      </c>
    </row>
    <row r="25" spans="1:9">
      <c r="A25" s="7" t="s">
        <v>180</v>
      </c>
      <c r="B25" s="7" t="s">
        <v>61</v>
      </c>
      <c r="C25" s="7" t="s">
        <v>56</v>
      </c>
      <c r="D25" s="7">
        <v>5</v>
      </c>
      <c r="E25" s="11">
        <v>3793333</v>
      </c>
      <c r="F25" s="7" t="s">
        <v>181</v>
      </c>
      <c r="G25" s="7" t="s">
        <v>92</v>
      </c>
      <c r="H25" s="21">
        <v>0.75884953944196309</v>
      </c>
      <c r="I25" s="12" t="s">
        <v>141</v>
      </c>
    </row>
    <row r="26" spans="1:9">
      <c r="A26" s="13" t="s">
        <v>182</v>
      </c>
      <c r="B26" s="13" t="s">
        <v>61</v>
      </c>
      <c r="C26" s="13" t="s">
        <v>56</v>
      </c>
      <c r="D26" s="13">
        <v>4</v>
      </c>
      <c r="E26" s="16">
        <v>3752708</v>
      </c>
      <c r="F26" s="13" t="s">
        <v>183</v>
      </c>
      <c r="G26" s="13" t="s">
        <v>123</v>
      </c>
      <c r="H26" s="22">
        <v>0.6061657341844876</v>
      </c>
      <c r="I26" s="17" t="s">
        <v>141</v>
      </c>
    </row>
    <row r="27" spans="1:9">
      <c r="A27" s="7" t="s">
        <v>184</v>
      </c>
      <c r="B27" s="7" t="s">
        <v>61</v>
      </c>
      <c r="C27" s="7" t="s">
        <v>56</v>
      </c>
      <c r="D27" s="7">
        <v>3</v>
      </c>
      <c r="E27" s="11">
        <v>3698866</v>
      </c>
      <c r="F27" s="7" t="s">
        <v>185</v>
      </c>
      <c r="G27" s="7" t="s">
        <v>102</v>
      </c>
      <c r="H27" s="21">
        <v>0.99426851364715563</v>
      </c>
      <c r="I27" s="12" t="s">
        <v>141</v>
      </c>
    </row>
    <row r="28" spans="1:9">
      <c r="A28" s="13" t="s">
        <v>186</v>
      </c>
      <c r="B28" s="13" t="s">
        <v>64</v>
      </c>
      <c r="C28" s="13" t="s">
        <v>56</v>
      </c>
      <c r="D28" s="13">
        <v>7</v>
      </c>
      <c r="E28" s="16">
        <v>3608039</v>
      </c>
      <c r="F28" s="13" t="s">
        <v>187</v>
      </c>
      <c r="G28" s="13" t="s">
        <v>65</v>
      </c>
      <c r="H28" s="22">
        <v>0.60720934557525574</v>
      </c>
      <c r="I28" s="17" t="s">
        <v>141</v>
      </c>
    </row>
    <row r="29" spans="1:9">
      <c r="A29" s="7" t="s">
        <v>188</v>
      </c>
      <c r="B29" s="7" t="s">
        <v>55</v>
      </c>
      <c r="C29" s="7" t="s">
        <v>56</v>
      </c>
      <c r="D29" s="7">
        <v>4</v>
      </c>
      <c r="E29" s="11">
        <v>3581333</v>
      </c>
      <c r="F29" s="7" t="s">
        <v>189</v>
      </c>
      <c r="G29" s="7" t="s">
        <v>96</v>
      </c>
      <c r="H29" s="21">
        <v>0.59070184202362641</v>
      </c>
      <c r="I29" s="12" t="s">
        <v>150</v>
      </c>
    </row>
    <row r="30" spans="1:9">
      <c r="A30" s="13" t="s">
        <v>190</v>
      </c>
      <c r="B30" s="13" t="s">
        <v>64</v>
      </c>
      <c r="C30" s="13" t="s">
        <v>56</v>
      </c>
      <c r="D30" s="13">
        <v>7</v>
      </c>
      <c r="E30" s="16">
        <v>3525373</v>
      </c>
      <c r="F30" s="13" t="s">
        <v>191</v>
      </c>
      <c r="G30" s="13" t="s">
        <v>70</v>
      </c>
      <c r="H30" s="22">
        <v>0.88332241723074412</v>
      </c>
      <c r="I30" s="17" t="s">
        <v>141</v>
      </c>
    </row>
    <row r="31" spans="1:9">
      <c r="A31" s="7" t="s">
        <v>192</v>
      </c>
      <c r="B31" s="7" t="s">
        <v>61</v>
      </c>
      <c r="C31" s="7" t="s">
        <v>56</v>
      </c>
      <c r="D31" s="7">
        <v>3</v>
      </c>
      <c r="E31" s="11">
        <v>3500443</v>
      </c>
      <c r="F31" s="7" t="s">
        <v>193</v>
      </c>
      <c r="G31" s="7" t="s">
        <v>62</v>
      </c>
      <c r="H31" s="21">
        <v>0.76657268808547951</v>
      </c>
      <c r="I31" s="12" t="s">
        <v>141</v>
      </c>
    </row>
    <row r="32" spans="1:9">
      <c r="A32" s="13" t="s">
        <v>194</v>
      </c>
      <c r="B32" s="13" t="s">
        <v>61</v>
      </c>
      <c r="C32" s="13" t="s">
        <v>56</v>
      </c>
      <c r="D32" s="13">
        <v>6</v>
      </c>
      <c r="E32" s="16">
        <v>3471352</v>
      </c>
      <c r="F32" s="13" t="s">
        <v>195</v>
      </c>
      <c r="G32" s="13" t="s">
        <v>123</v>
      </c>
      <c r="H32" s="22">
        <v>0.44240226862617221</v>
      </c>
      <c r="I32" s="17" t="s">
        <v>150</v>
      </c>
    </row>
    <row r="33" spans="1:9">
      <c r="A33" s="7" t="s">
        <v>196</v>
      </c>
      <c r="B33" s="7" t="s">
        <v>64</v>
      </c>
      <c r="C33" s="7" t="s">
        <v>114</v>
      </c>
      <c r="D33" s="7">
        <v>10</v>
      </c>
      <c r="E33" s="11">
        <v>3451697</v>
      </c>
      <c r="F33" s="7" t="s">
        <v>197</v>
      </c>
      <c r="G33" s="7" t="s">
        <v>198</v>
      </c>
      <c r="H33" s="21">
        <v>0.48526797108784459</v>
      </c>
      <c r="I33" s="12" t="s">
        <v>150</v>
      </c>
    </row>
    <row r="34" spans="1:9">
      <c r="A34" s="13" t="s">
        <v>199</v>
      </c>
      <c r="B34" s="13" t="s">
        <v>55</v>
      </c>
      <c r="C34" s="13" t="s">
        <v>56</v>
      </c>
      <c r="D34" s="13">
        <v>3</v>
      </c>
      <c r="E34" s="16">
        <v>3449822</v>
      </c>
      <c r="F34" s="13" t="s">
        <v>200</v>
      </c>
      <c r="G34" s="13" t="s">
        <v>57</v>
      </c>
      <c r="H34" s="22">
        <v>0.76070765390214334</v>
      </c>
      <c r="I34" s="17" t="s">
        <v>141</v>
      </c>
    </row>
    <row r="35" spans="1:9">
      <c r="A35" s="7" t="s">
        <v>201</v>
      </c>
      <c r="B35" s="7" t="s">
        <v>55</v>
      </c>
      <c r="C35" s="7" t="s">
        <v>56</v>
      </c>
      <c r="D35" s="7">
        <v>6</v>
      </c>
      <c r="E35" s="11">
        <v>3442212</v>
      </c>
      <c r="F35" s="7" t="s">
        <v>202</v>
      </c>
      <c r="G35" s="7" t="s">
        <v>84</v>
      </c>
      <c r="H35" s="21">
        <v>0.91175732348850103</v>
      </c>
      <c r="I35" s="12" t="s">
        <v>141</v>
      </c>
    </row>
    <row r="36" spans="1:9">
      <c r="A36" s="13" t="s">
        <v>203</v>
      </c>
      <c r="B36" s="13" t="s">
        <v>64</v>
      </c>
      <c r="C36" s="13" t="s">
        <v>114</v>
      </c>
      <c r="D36" s="13">
        <v>8</v>
      </c>
      <c r="E36" s="16">
        <v>3410517</v>
      </c>
      <c r="F36" s="13" t="s">
        <v>204</v>
      </c>
      <c r="G36" s="13" t="s">
        <v>198</v>
      </c>
      <c r="H36" s="22">
        <v>0.6319666490447049</v>
      </c>
      <c r="I36" s="17" t="s">
        <v>141</v>
      </c>
    </row>
    <row r="37" spans="1:9">
      <c r="A37" s="7" t="s">
        <v>205</v>
      </c>
      <c r="B37" s="7" t="s">
        <v>72</v>
      </c>
      <c r="C37" s="7" t="s">
        <v>114</v>
      </c>
      <c r="D37" s="7">
        <v>6</v>
      </c>
      <c r="E37" s="11">
        <v>3399500</v>
      </c>
      <c r="F37" s="7" t="s">
        <v>206</v>
      </c>
      <c r="G37" s="7" t="s">
        <v>198</v>
      </c>
      <c r="H37" s="21">
        <v>0.84875511104574197</v>
      </c>
      <c r="I37" s="12" t="s">
        <v>141</v>
      </c>
    </row>
    <row r="38" spans="1:9">
      <c r="A38" s="13" t="s">
        <v>207</v>
      </c>
      <c r="B38" s="13" t="s">
        <v>64</v>
      </c>
      <c r="C38" s="13" t="s">
        <v>114</v>
      </c>
      <c r="D38" s="13">
        <v>8</v>
      </c>
      <c r="E38" s="16">
        <v>3298744</v>
      </c>
      <c r="F38" s="13" t="s">
        <v>208</v>
      </c>
      <c r="G38" s="13" t="s">
        <v>115</v>
      </c>
      <c r="H38" s="22">
        <v>0.61709820465001219</v>
      </c>
      <c r="I38" s="17" t="s">
        <v>141</v>
      </c>
    </row>
    <row r="39" spans="1:9">
      <c r="A39" s="7" t="s">
        <v>209</v>
      </c>
      <c r="B39" s="7" t="s">
        <v>75</v>
      </c>
      <c r="C39" s="7" t="s">
        <v>56</v>
      </c>
      <c r="D39" s="7">
        <v>5</v>
      </c>
      <c r="E39" s="11">
        <v>3289896</v>
      </c>
      <c r="F39" s="7" t="s">
        <v>210</v>
      </c>
      <c r="G39" s="7" t="s">
        <v>211</v>
      </c>
      <c r="H39" s="21">
        <v>0.72904827386640791</v>
      </c>
      <c r="I39" s="12" t="s">
        <v>141</v>
      </c>
    </row>
    <row r="40" spans="1:9">
      <c r="A40" s="13" t="s">
        <v>212</v>
      </c>
      <c r="B40" s="13" t="s">
        <v>64</v>
      </c>
      <c r="C40" s="13" t="s">
        <v>114</v>
      </c>
      <c r="D40" s="13">
        <v>7</v>
      </c>
      <c r="E40" s="16">
        <v>3208533</v>
      </c>
      <c r="F40" s="13" t="s">
        <v>213</v>
      </c>
      <c r="G40" s="13" t="s">
        <v>115</v>
      </c>
      <c r="H40" s="22">
        <v>0.66495279930111362</v>
      </c>
      <c r="I40" s="17" t="s">
        <v>141</v>
      </c>
    </row>
    <row r="41" spans="1:9">
      <c r="A41" s="7" t="s">
        <v>214</v>
      </c>
      <c r="B41" s="7" t="s">
        <v>72</v>
      </c>
      <c r="C41" s="7" t="s">
        <v>56</v>
      </c>
      <c r="D41" s="7">
        <v>6</v>
      </c>
      <c r="E41" s="11">
        <v>3206075</v>
      </c>
      <c r="F41" s="7" t="s">
        <v>215</v>
      </c>
      <c r="G41" s="7" t="s">
        <v>70</v>
      </c>
      <c r="H41" s="21">
        <v>0.89096699235045962</v>
      </c>
      <c r="I41" s="12" t="s">
        <v>141</v>
      </c>
    </row>
    <row r="42" spans="1:9">
      <c r="A42" s="13" t="s">
        <v>216</v>
      </c>
      <c r="B42" s="13" t="s">
        <v>61</v>
      </c>
      <c r="C42" s="13" t="s">
        <v>56</v>
      </c>
      <c r="D42" s="13">
        <v>6</v>
      </c>
      <c r="E42" s="16">
        <v>3179323</v>
      </c>
      <c r="F42" s="13" t="s">
        <v>217</v>
      </c>
      <c r="G42" s="13" t="s">
        <v>102</v>
      </c>
      <c r="H42" s="22">
        <v>0.75238344767109222</v>
      </c>
      <c r="I42" s="17" t="s">
        <v>141</v>
      </c>
    </row>
    <row r="43" spans="1:9">
      <c r="A43" s="7" t="s">
        <v>218</v>
      </c>
      <c r="B43" s="7" t="s">
        <v>72</v>
      </c>
      <c r="C43" s="7" t="s">
        <v>114</v>
      </c>
      <c r="D43" s="7">
        <v>6</v>
      </c>
      <c r="E43" s="11">
        <v>3137223</v>
      </c>
      <c r="F43" s="7" t="s">
        <v>219</v>
      </c>
      <c r="G43" s="7" t="s">
        <v>115</v>
      </c>
      <c r="H43" s="21">
        <v>0.59048623575690984</v>
      </c>
      <c r="I43" s="12" t="s">
        <v>150</v>
      </c>
    </row>
    <row r="44" spans="1:9">
      <c r="A44" s="13" t="s">
        <v>220</v>
      </c>
      <c r="B44" s="13" t="s">
        <v>64</v>
      </c>
      <c r="C44" s="13" t="s">
        <v>56</v>
      </c>
      <c r="D44" s="13">
        <v>8</v>
      </c>
      <c r="E44" s="16">
        <v>3113874</v>
      </c>
      <c r="F44" s="13" t="s">
        <v>221</v>
      </c>
      <c r="G44" s="13" t="s">
        <v>70</v>
      </c>
      <c r="H44" s="22">
        <v>0.87811774015262023</v>
      </c>
      <c r="I44" s="17" t="s">
        <v>141</v>
      </c>
    </row>
    <row r="45" spans="1:9">
      <c r="A45" s="7" t="s">
        <v>222</v>
      </c>
      <c r="B45" s="7" t="s">
        <v>64</v>
      </c>
      <c r="C45" s="7" t="s">
        <v>56</v>
      </c>
      <c r="D45" s="7">
        <v>7</v>
      </c>
      <c r="E45" s="11">
        <v>3069756</v>
      </c>
      <c r="F45" s="7" t="s">
        <v>223</v>
      </c>
      <c r="G45" s="7" t="s">
        <v>65</v>
      </c>
      <c r="H45" s="21">
        <v>0.64956042108884227</v>
      </c>
      <c r="I45" s="12" t="s">
        <v>141</v>
      </c>
    </row>
    <row r="46" spans="1:9">
      <c r="A46" s="13" t="s">
        <v>224</v>
      </c>
      <c r="B46" s="13" t="s">
        <v>75</v>
      </c>
      <c r="C46" s="13" t="s">
        <v>56</v>
      </c>
      <c r="D46" s="13">
        <v>4</v>
      </c>
      <c r="E46" s="16">
        <v>3062494</v>
      </c>
      <c r="F46" s="13" t="s">
        <v>225</v>
      </c>
      <c r="G46" s="13" t="s">
        <v>76</v>
      </c>
      <c r="H46" s="22">
        <v>0.82651166010447696</v>
      </c>
      <c r="I46" s="17" t="s">
        <v>141</v>
      </c>
    </row>
    <row r="47" spans="1:9">
      <c r="A47" s="7" t="s">
        <v>226</v>
      </c>
      <c r="B47" s="7" t="s">
        <v>75</v>
      </c>
      <c r="C47" s="7" t="s">
        <v>56</v>
      </c>
      <c r="D47" s="7">
        <v>7</v>
      </c>
      <c r="E47" s="11">
        <v>3034651</v>
      </c>
      <c r="F47" s="7" t="s">
        <v>227</v>
      </c>
      <c r="G47" s="7" t="s">
        <v>82</v>
      </c>
      <c r="H47" s="21">
        <v>0.52138812667420409</v>
      </c>
      <c r="I47" s="12" t="s">
        <v>150</v>
      </c>
    </row>
    <row r="48" spans="1:9">
      <c r="A48" s="13" t="s">
        <v>228</v>
      </c>
      <c r="B48" s="13" t="s">
        <v>72</v>
      </c>
      <c r="C48" s="13" t="s">
        <v>114</v>
      </c>
      <c r="D48" s="13">
        <v>9</v>
      </c>
      <c r="E48" s="16">
        <v>2999590</v>
      </c>
      <c r="F48" s="13" t="s">
        <v>229</v>
      </c>
      <c r="G48" s="13" t="s">
        <v>198</v>
      </c>
      <c r="H48" s="22">
        <v>0.55841164959211087</v>
      </c>
      <c r="I48" s="17" t="s">
        <v>150</v>
      </c>
    </row>
    <row r="49" spans="1:9">
      <c r="A49" s="7" t="s">
        <v>230</v>
      </c>
      <c r="B49" s="7" t="s">
        <v>61</v>
      </c>
      <c r="C49" s="7" t="s">
        <v>56</v>
      </c>
      <c r="D49" s="7">
        <v>4</v>
      </c>
      <c r="E49" s="11">
        <v>2991841</v>
      </c>
      <c r="F49" s="7" t="s">
        <v>231</v>
      </c>
      <c r="G49" s="7" t="s">
        <v>123</v>
      </c>
      <c r="H49" s="21">
        <v>0.60104530956023394</v>
      </c>
      <c r="I49" s="12" t="s">
        <v>141</v>
      </c>
    </row>
    <row r="50" spans="1:9">
      <c r="A50" s="13" t="s">
        <v>232</v>
      </c>
      <c r="B50" s="13" t="s">
        <v>72</v>
      </c>
      <c r="C50" s="13" t="s">
        <v>114</v>
      </c>
      <c r="D50" s="13">
        <v>3</v>
      </c>
      <c r="E50" s="16">
        <v>2938968</v>
      </c>
      <c r="F50" s="13" t="s">
        <v>233</v>
      </c>
      <c r="G50" s="13" t="s">
        <v>115</v>
      </c>
      <c r="H50" s="22">
        <v>0.80571411461438169</v>
      </c>
      <c r="I50" s="17" t="s">
        <v>141</v>
      </c>
    </row>
    <row r="51" spans="1:9">
      <c r="A51" s="7" t="s">
        <v>234</v>
      </c>
      <c r="B51" s="7" t="s">
        <v>64</v>
      </c>
      <c r="C51" s="7" t="s">
        <v>114</v>
      </c>
      <c r="D51" s="7">
        <v>5</v>
      </c>
      <c r="E51" s="11">
        <v>2910938</v>
      </c>
      <c r="F51" s="7" t="s">
        <v>235</v>
      </c>
      <c r="G51" s="7" t="s">
        <v>115</v>
      </c>
      <c r="H51" s="21">
        <v>0.9402254531013714</v>
      </c>
      <c r="I51" s="12" t="s">
        <v>141</v>
      </c>
    </row>
    <row r="52" spans="1:9">
      <c r="A52" s="13" t="s">
        <v>236</v>
      </c>
      <c r="B52" s="13" t="s">
        <v>61</v>
      </c>
      <c r="C52" s="13" t="s">
        <v>56</v>
      </c>
      <c r="D52" s="13">
        <v>5</v>
      </c>
      <c r="E52" s="16">
        <v>2903158</v>
      </c>
      <c r="F52" s="13" t="s">
        <v>237</v>
      </c>
      <c r="G52" s="13" t="s">
        <v>92</v>
      </c>
      <c r="H52" s="22">
        <v>0.69331948175056268</v>
      </c>
      <c r="I52" s="17" t="s">
        <v>141</v>
      </c>
    </row>
    <row r="53" spans="1:9">
      <c r="A53" s="7" t="s">
        <v>238</v>
      </c>
      <c r="B53" s="7" t="s">
        <v>61</v>
      </c>
      <c r="C53" s="7" t="s">
        <v>56</v>
      </c>
      <c r="D53" s="7">
        <v>5</v>
      </c>
      <c r="E53" s="11">
        <v>2879501</v>
      </c>
      <c r="F53" s="7" t="s">
        <v>239</v>
      </c>
      <c r="G53" s="7" t="s">
        <v>123</v>
      </c>
      <c r="H53" s="21">
        <v>0.41982968576847168</v>
      </c>
      <c r="I53" s="12" t="s">
        <v>150</v>
      </c>
    </row>
    <row r="54" spans="1:9">
      <c r="A54" s="13" t="s">
        <v>240</v>
      </c>
      <c r="B54" s="13" t="s">
        <v>72</v>
      </c>
      <c r="C54" s="13" t="s">
        <v>56</v>
      </c>
      <c r="D54" s="13">
        <v>6</v>
      </c>
      <c r="E54" s="16">
        <v>2825988</v>
      </c>
      <c r="F54" s="13" t="s">
        <v>241</v>
      </c>
      <c r="G54" s="13" t="s">
        <v>67</v>
      </c>
      <c r="H54" s="22">
        <v>0.6036341980220723</v>
      </c>
      <c r="I54" s="17" t="s">
        <v>141</v>
      </c>
    </row>
    <row r="55" spans="1:9">
      <c r="A55" s="7" t="s">
        <v>242</v>
      </c>
      <c r="B55" s="7" t="s">
        <v>64</v>
      </c>
      <c r="C55" s="7" t="s">
        <v>56</v>
      </c>
      <c r="D55" s="7">
        <v>6</v>
      </c>
      <c r="E55" s="11">
        <v>2804854</v>
      </c>
      <c r="F55" s="7" t="s">
        <v>243</v>
      </c>
      <c r="G55" s="7" t="s">
        <v>70</v>
      </c>
      <c r="H55" s="21">
        <v>0.96495931695553494</v>
      </c>
      <c r="I55" s="12" t="s">
        <v>141</v>
      </c>
    </row>
    <row r="56" spans="1:9">
      <c r="A56" s="13" t="s">
        <v>244</v>
      </c>
      <c r="B56" s="13" t="s">
        <v>55</v>
      </c>
      <c r="C56" s="13" t="s">
        <v>56</v>
      </c>
      <c r="D56" s="13">
        <v>5</v>
      </c>
      <c r="E56" s="16">
        <v>2790075</v>
      </c>
      <c r="F56" s="13" t="s">
        <v>245</v>
      </c>
      <c r="G56" s="13" t="s">
        <v>78</v>
      </c>
      <c r="H56" s="22">
        <v>0.54262914079370628</v>
      </c>
      <c r="I56" s="17" t="s">
        <v>150</v>
      </c>
    </row>
    <row r="57" spans="1:9">
      <c r="A57" s="7" t="s">
        <v>246</v>
      </c>
      <c r="B57" s="7" t="s">
        <v>61</v>
      </c>
      <c r="C57" s="7" t="s">
        <v>56</v>
      </c>
      <c r="D57" s="7">
        <v>12</v>
      </c>
      <c r="E57" s="11">
        <v>2614496</v>
      </c>
      <c r="F57" s="7" t="s">
        <v>247</v>
      </c>
      <c r="G57" s="7" t="s">
        <v>248</v>
      </c>
      <c r="H57" s="21">
        <v>0.93402170054955147</v>
      </c>
      <c r="I57" s="12" t="s">
        <v>141</v>
      </c>
    </row>
    <row r="58" spans="1:9">
      <c r="A58" s="13" t="s">
        <v>249</v>
      </c>
      <c r="B58" s="13" t="s">
        <v>61</v>
      </c>
      <c r="C58" s="13" t="s">
        <v>56</v>
      </c>
      <c r="D58" s="13">
        <v>4</v>
      </c>
      <c r="E58" s="16">
        <v>2364747</v>
      </c>
      <c r="F58" s="13" t="s">
        <v>250</v>
      </c>
      <c r="G58" s="13" t="s">
        <v>102</v>
      </c>
      <c r="H58" s="22">
        <v>0.38864072985397591</v>
      </c>
      <c r="I58" s="17" t="s">
        <v>150</v>
      </c>
    </row>
    <row r="59" spans="1:9">
      <c r="A59" s="7" t="s">
        <v>251</v>
      </c>
      <c r="B59" s="7" t="s">
        <v>72</v>
      </c>
      <c r="C59" s="7" t="s">
        <v>114</v>
      </c>
      <c r="D59" s="7">
        <v>5</v>
      </c>
      <c r="E59" s="11">
        <v>2303806</v>
      </c>
      <c r="F59" s="7" t="s">
        <v>252</v>
      </c>
      <c r="G59" s="7" t="s">
        <v>115</v>
      </c>
      <c r="H59" s="21">
        <v>0.90555802007634323</v>
      </c>
      <c r="I59" s="12" t="s">
        <v>141</v>
      </c>
    </row>
    <row r="60" spans="1:9">
      <c r="A60" s="13" t="s">
        <v>253</v>
      </c>
      <c r="B60" s="13" t="s">
        <v>61</v>
      </c>
      <c r="C60" s="13" t="s">
        <v>56</v>
      </c>
      <c r="D60" s="13">
        <v>3</v>
      </c>
      <c r="E60" s="16">
        <v>2267997</v>
      </c>
      <c r="F60" s="13" t="s">
        <v>254</v>
      </c>
      <c r="G60" s="13" t="s">
        <v>92</v>
      </c>
      <c r="H60" s="22">
        <v>0.61813706102785848</v>
      </c>
      <c r="I60" s="17" t="s">
        <v>141</v>
      </c>
    </row>
    <row r="61" spans="1:9">
      <c r="A61" s="7" t="s">
        <v>255</v>
      </c>
      <c r="B61" s="7" t="s">
        <v>61</v>
      </c>
      <c r="C61" s="7" t="s">
        <v>56</v>
      </c>
      <c r="D61" s="7">
        <v>4</v>
      </c>
      <c r="E61" s="11">
        <v>2251265</v>
      </c>
      <c r="F61" s="7" t="s">
        <v>256</v>
      </c>
      <c r="G61" s="7" t="s">
        <v>102</v>
      </c>
      <c r="H61" s="21">
        <v>0.87702913695189144</v>
      </c>
      <c r="I61" s="12" t="s">
        <v>141</v>
      </c>
    </row>
    <row r="62" spans="1:9">
      <c r="A62" s="13" t="s">
        <v>257</v>
      </c>
      <c r="B62" s="13" t="s">
        <v>75</v>
      </c>
      <c r="C62" s="13" t="s">
        <v>56</v>
      </c>
      <c r="D62" s="13">
        <v>5</v>
      </c>
      <c r="E62" s="16">
        <v>2173648</v>
      </c>
      <c r="F62" s="13" t="s">
        <v>258</v>
      </c>
      <c r="G62" s="13" t="s">
        <v>76</v>
      </c>
      <c r="H62" s="22">
        <v>0.54697954774646129</v>
      </c>
      <c r="I62" s="17" t="s">
        <v>150</v>
      </c>
    </row>
    <row r="63" spans="1:9">
      <c r="A63" s="7" t="s">
        <v>259</v>
      </c>
      <c r="B63" s="7" t="s">
        <v>75</v>
      </c>
      <c r="C63" s="7" t="s">
        <v>56</v>
      </c>
      <c r="D63" s="7">
        <v>4</v>
      </c>
      <c r="E63" s="11">
        <v>2168436</v>
      </c>
      <c r="F63" s="7" t="s">
        <v>260</v>
      </c>
      <c r="G63" s="7" t="s">
        <v>100</v>
      </c>
      <c r="H63" s="21">
        <v>0.71327906380451167</v>
      </c>
      <c r="I63" s="12" t="s">
        <v>141</v>
      </c>
    </row>
    <row r="64" spans="1:9">
      <c r="A64" s="13" t="s">
        <v>261</v>
      </c>
      <c r="B64" s="13" t="s">
        <v>75</v>
      </c>
      <c r="C64" s="13" t="s">
        <v>56</v>
      </c>
      <c r="D64" s="13">
        <v>4</v>
      </c>
      <c r="E64" s="16">
        <v>2165195</v>
      </c>
      <c r="F64" s="13" t="s">
        <v>262</v>
      </c>
      <c r="G64" s="13" t="s">
        <v>110</v>
      </c>
      <c r="H64" s="22">
        <v>0.92379439265285579</v>
      </c>
      <c r="I64" s="17" t="s">
        <v>141</v>
      </c>
    </row>
    <row r="65" spans="1:9">
      <c r="A65" s="7" t="s">
        <v>263</v>
      </c>
      <c r="B65" s="7" t="s">
        <v>55</v>
      </c>
      <c r="C65" s="7" t="s">
        <v>56</v>
      </c>
      <c r="D65" s="7">
        <v>6</v>
      </c>
      <c r="E65" s="11">
        <v>2090000</v>
      </c>
      <c r="F65" s="7" t="s">
        <v>264</v>
      </c>
      <c r="G65" s="7" t="s">
        <v>57</v>
      </c>
      <c r="H65" s="21">
        <v>0.93540669856459335</v>
      </c>
      <c r="I65" s="12" t="s">
        <v>141</v>
      </c>
    </row>
    <row r="66" spans="1:9">
      <c r="A66" s="13" t="s">
        <v>265</v>
      </c>
      <c r="B66" s="13" t="s">
        <v>61</v>
      </c>
      <c r="C66" s="13" t="s">
        <v>56</v>
      </c>
      <c r="D66" s="13">
        <v>5</v>
      </c>
      <c r="E66" s="16">
        <v>2078964</v>
      </c>
      <c r="F66" s="13" t="s">
        <v>266</v>
      </c>
      <c r="G66" s="13" t="s">
        <v>62</v>
      </c>
      <c r="H66" s="22">
        <v>0.80188978741334627</v>
      </c>
      <c r="I66" s="17" t="s">
        <v>141</v>
      </c>
    </row>
    <row r="67" spans="1:9">
      <c r="A67" s="7" t="s">
        <v>267</v>
      </c>
      <c r="B67" s="7" t="s">
        <v>61</v>
      </c>
      <c r="C67" s="7" t="s">
        <v>56</v>
      </c>
      <c r="D67" s="7">
        <v>5</v>
      </c>
      <c r="E67" s="11">
        <v>2033816</v>
      </c>
      <c r="F67" s="7" t="s">
        <v>268</v>
      </c>
      <c r="G67" s="7" t="s">
        <v>92</v>
      </c>
      <c r="H67" s="21">
        <v>0.50869744362321867</v>
      </c>
      <c r="I67" s="12" t="s">
        <v>150</v>
      </c>
    </row>
    <row r="68" spans="1:9">
      <c r="A68" s="13" t="s">
        <v>269</v>
      </c>
      <c r="B68" s="13" t="s">
        <v>64</v>
      </c>
      <c r="C68" s="13" t="s">
        <v>114</v>
      </c>
      <c r="D68" s="13">
        <v>10</v>
      </c>
      <c r="E68" s="16">
        <v>2029632</v>
      </c>
      <c r="F68" s="13" t="s">
        <v>270</v>
      </c>
      <c r="G68" s="13" t="s">
        <v>115</v>
      </c>
      <c r="H68" s="22">
        <v>0.83593134124806856</v>
      </c>
      <c r="I68" s="17" t="s">
        <v>141</v>
      </c>
    </row>
    <row r="69" spans="1:9">
      <c r="A69" s="7" t="s">
        <v>271</v>
      </c>
      <c r="B69" s="7" t="s">
        <v>61</v>
      </c>
      <c r="C69" s="7" t="s">
        <v>56</v>
      </c>
      <c r="D69" s="7">
        <v>2</v>
      </c>
      <c r="E69" s="11">
        <v>2010492</v>
      </c>
      <c r="F69" s="7" t="s">
        <v>272</v>
      </c>
      <c r="G69" s="7" t="s">
        <v>123</v>
      </c>
      <c r="H69" s="21">
        <v>0.71259472805661495</v>
      </c>
      <c r="I69" s="12" t="s">
        <v>141</v>
      </c>
    </row>
    <row r="70" spans="1:9">
      <c r="A70" s="13" t="s">
        <v>273</v>
      </c>
      <c r="B70" s="13" t="s">
        <v>64</v>
      </c>
      <c r="C70" s="13" t="s">
        <v>56</v>
      </c>
      <c r="D70" s="13">
        <v>2</v>
      </c>
      <c r="E70" s="16">
        <v>1988532</v>
      </c>
      <c r="F70" s="13" t="s">
        <v>274</v>
      </c>
      <c r="G70" s="13" t="s">
        <v>67</v>
      </c>
      <c r="H70" s="22">
        <v>0.58296974853811756</v>
      </c>
      <c r="I70" s="17" t="s">
        <v>150</v>
      </c>
    </row>
    <row r="71" spans="1:9">
      <c r="A71" s="7" t="s">
        <v>275</v>
      </c>
      <c r="B71" s="7" t="s">
        <v>72</v>
      </c>
      <c r="C71" s="7" t="s">
        <v>114</v>
      </c>
      <c r="D71" s="7">
        <v>3</v>
      </c>
      <c r="E71" s="11">
        <v>1908070</v>
      </c>
      <c r="F71" s="7" t="s">
        <v>276</v>
      </c>
      <c r="G71" s="7" t="s">
        <v>120</v>
      </c>
      <c r="H71" s="21">
        <v>0.60287043976374033</v>
      </c>
      <c r="I71" s="12" t="s">
        <v>141</v>
      </c>
    </row>
    <row r="72" spans="1:9">
      <c r="A72" s="13" t="s">
        <v>277</v>
      </c>
      <c r="B72" s="13" t="s">
        <v>61</v>
      </c>
      <c r="C72" s="13" t="s">
        <v>56</v>
      </c>
      <c r="D72" s="13">
        <v>4</v>
      </c>
      <c r="E72" s="16">
        <v>1906289</v>
      </c>
      <c r="F72" s="13" t="s">
        <v>278</v>
      </c>
      <c r="G72" s="13" t="s">
        <v>62</v>
      </c>
      <c r="H72" s="22">
        <v>0.85185562105221191</v>
      </c>
      <c r="I72" s="17" t="s">
        <v>141</v>
      </c>
    </row>
    <row r="73" spans="1:9">
      <c r="A73" s="7" t="s">
        <v>279</v>
      </c>
      <c r="B73" s="7" t="s">
        <v>72</v>
      </c>
      <c r="C73" s="7" t="s">
        <v>114</v>
      </c>
      <c r="D73" s="7">
        <v>7</v>
      </c>
      <c r="E73" s="11">
        <v>1888854</v>
      </c>
      <c r="F73" s="7" t="s">
        <v>280</v>
      </c>
      <c r="G73" s="7" t="s">
        <v>115</v>
      </c>
      <c r="H73" s="21">
        <v>0.50444131732786124</v>
      </c>
      <c r="I73" s="12" t="s">
        <v>150</v>
      </c>
    </row>
    <row r="74" spans="1:9">
      <c r="A74" s="13" t="s">
        <v>281</v>
      </c>
      <c r="B74" s="13" t="s">
        <v>55</v>
      </c>
      <c r="C74" s="13" t="s">
        <v>126</v>
      </c>
      <c r="D74" s="13">
        <v>2</v>
      </c>
      <c r="E74" s="16">
        <v>1874888</v>
      </c>
      <c r="F74" s="13" t="s">
        <v>282</v>
      </c>
      <c r="G74" s="13" t="s">
        <v>78</v>
      </c>
      <c r="H74" s="22">
        <v>0.76697914755441388</v>
      </c>
      <c r="I74" s="17" t="s">
        <v>141</v>
      </c>
    </row>
    <row r="75" spans="1:9">
      <c r="A75" s="7" t="s">
        <v>283</v>
      </c>
      <c r="B75" s="7" t="s">
        <v>72</v>
      </c>
      <c r="C75" s="7" t="s">
        <v>56</v>
      </c>
      <c r="D75" s="7">
        <v>2</v>
      </c>
      <c r="E75" s="11">
        <v>1861021</v>
      </c>
      <c r="F75" s="7" t="s">
        <v>284</v>
      </c>
      <c r="G75" s="7" t="s">
        <v>67</v>
      </c>
      <c r="H75" s="21">
        <v>0.5441744074892223</v>
      </c>
      <c r="I75" s="12" t="s">
        <v>150</v>
      </c>
    </row>
    <row r="76" spans="1:9">
      <c r="A76" s="13" t="s">
        <v>285</v>
      </c>
      <c r="B76" s="13" t="s">
        <v>75</v>
      </c>
      <c r="C76" s="13" t="s">
        <v>56</v>
      </c>
      <c r="D76" s="13">
        <v>5</v>
      </c>
      <c r="E76" s="16">
        <v>1852281</v>
      </c>
      <c r="F76" s="13" t="s">
        <v>286</v>
      </c>
      <c r="G76" s="13" t="s">
        <v>100</v>
      </c>
      <c r="H76" s="22">
        <v>0.88477450235682387</v>
      </c>
      <c r="I76" s="17" t="s">
        <v>141</v>
      </c>
    </row>
    <row r="77" spans="1:9">
      <c r="A77" s="7" t="s">
        <v>287</v>
      </c>
      <c r="B77" s="7" t="s">
        <v>64</v>
      </c>
      <c r="C77" s="7" t="s">
        <v>56</v>
      </c>
      <c r="D77" s="7">
        <v>8</v>
      </c>
      <c r="E77" s="11">
        <v>1832273</v>
      </c>
      <c r="F77" s="7" t="s">
        <v>288</v>
      </c>
      <c r="G77" s="7" t="s">
        <v>70</v>
      </c>
      <c r="H77" s="21">
        <v>0.98560694830955864</v>
      </c>
      <c r="I77" s="12" t="s">
        <v>141</v>
      </c>
    </row>
    <row r="78" spans="1:9">
      <c r="A78" s="13" t="s">
        <v>289</v>
      </c>
      <c r="B78" s="13" t="s">
        <v>55</v>
      </c>
      <c r="C78" s="13" t="s">
        <v>56</v>
      </c>
      <c r="D78" s="13">
        <v>3</v>
      </c>
      <c r="E78" s="16">
        <v>1789840</v>
      </c>
      <c r="F78" s="13" t="s">
        <v>290</v>
      </c>
      <c r="G78" s="13" t="s">
        <v>57</v>
      </c>
      <c r="H78" s="22">
        <v>0.75000335225495018</v>
      </c>
      <c r="I78" s="17" t="s">
        <v>141</v>
      </c>
    </row>
    <row r="79" spans="1:9">
      <c r="A79" s="7" t="s">
        <v>291</v>
      </c>
      <c r="B79" s="7" t="s">
        <v>61</v>
      </c>
      <c r="C79" s="7" t="s">
        <v>56</v>
      </c>
      <c r="D79" s="7">
        <v>3</v>
      </c>
      <c r="E79" s="11">
        <v>1788465</v>
      </c>
      <c r="F79" s="7" t="s">
        <v>292</v>
      </c>
      <c r="G79" s="7" t="s">
        <v>102</v>
      </c>
      <c r="H79" s="21">
        <v>0.96494703558638273</v>
      </c>
      <c r="I79" s="12" t="s">
        <v>141</v>
      </c>
    </row>
    <row r="80" spans="1:9">
      <c r="A80" s="13" t="s">
        <v>293</v>
      </c>
      <c r="B80" s="13" t="s">
        <v>61</v>
      </c>
      <c r="C80" s="13" t="s">
        <v>56</v>
      </c>
      <c r="D80" s="13">
        <v>5</v>
      </c>
      <c r="E80" s="16">
        <v>1733778</v>
      </c>
      <c r="F80" s="13" t="s">
        <v>294</v>
      </c>
      <c r="G80" s="13" t="s">
        <v>102</v>
      </c>
      <c r="H80" s="22">
        <v>0.61037687639363292</v>
      </c>
      <c r="I80" s="17" t="s">
        <v>141</v>
      </c>
    </row>
    <row r="81" spans="1:9">
      <c r="A81" s="7" t="s">
        <v>295</v>
      </c>
      <c r="B81" s="7" t="s">
        <v>64</v>
      </c>
      <c r="C81" s="7" t="s">
        <v>114</v>
      </c>
      <c r="D81" s="7">
        <v>3</v>
      </c>
      <c r="E81" s="11">
        <v>1720398</v>
      </c>
      <c r="F81" s="7" t="s">
        <v>296</v>
      </c>
      <c r="G81" s="7" t="s">
        <v>198</v>
      </c>
      <c r="H81" s="21">
        <v>0.7554897180768636</v>
      </c>
      <c r="I81" s="12" t="s">
        <v>141</v>
      </c>
    </row>
    <row r="82" spans="1:9">
      <c r="A82" s="13" t="s">
        <v>297</v>
      </c>
      <c r="B82" s="13" t="s">
        <v>55</v>
      </c>
      <c r="C82" s="13" t="s">
        <v>56</v>
      </c>
      <c r="D82" s="13">
        <v>2</v>
      </c>
      <c r="E82" s="16">
        <v>1701995</v>
      </c>
      <c r="F82" s="13" t="s">
        <v>298</v>
      </c>
      <c r="G82" s="13" t="s">
        <v>122</v>
      </c>
      <c r="H82" s="22">
        <v>0.62257762214342582</v>
      </c>
      <c r="I82" s="17" t="s">
        <v>141</v>
      </c>
    </row>
    <row r="83" spans="1:9">
      <c r="A83" s="7" t="s">
        <v>299</v>
      </c>
      <c r="B83" s="7" t="s">
        <v>61</v>
      </c>
      <c r="C83" s="7" t="s">
        <v>56</v>
      </c>
      <c r="D83" s="7">
        <v>5</v>
      </c>
      <c r="E83" s="11">
        <v>1671356</v>
      </c>
      <c r="F83" s="7" t="s">
        <v>300</v>
      </c>
      <c r="G83" s="7" t="s">
        <v>92</v>
      </c>
      <c r="H83" s="21">
        <v>0.69035920533985573</v>
      </c>
      <c r="I83" s="12" t="s">
        <v>141</v>
      </c>
    </row>
    <row r="84" spans="1:9">
      <c r="A84" s="13" t="s">
        <v>301</v>
      </c>
      <c r="B84" s="13" t="s">
        <v>64</v>
      </c>
      <c r="C84" s="13" t="s">
        <v>56</v>
      </c>
      <c r="D84" s="13">
        <v>3</v>
      </c>
      <c r="E84" s="16">
        <v>1574626</v>
      </c>
      <c r="F84" s="13" t="s">
        <v>302</v>
      </c>
      <c r="G84" s="13" t="s">
        <v>104</v>
      </c>
      <c r="H84" s="22">
        <v>0.5156913451194125</v>
      </c>
      <c r="I84" s="17" t="s">
        <v>150</v>
      </c>
    </row>
  </sheetData>
  <mergeCells count="2">
    <mergeCell ref="A1:I1"/>
    <mergeCell ref="A2:I2"/>
  </mergeCells>
  <phoneticPr fontId="15" type="noConversion"/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7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6" customWidth="1"/>
    <col min="2" max="2" width="14" customWidth="1"/>
    <col min="3" max="3" width="16" customWidth="1"/>
    <col min="4" max="4" width="8.3828125" customWidth="1"/>
    <col min="5" max="5" width="12" customWidth="1"/>
    <col min="6" max="7" width="8" customWidth="1"/>
    <col min="8" max="8" width="10" customWidth="1"/>
    <col min="9" max="9" width="11.61328125" customWidth="1"/>
    <col min="10" max="10" width="8" customWidth="1"/>
    <col min="11" max="11" width="10" customWidth="1"/>
    <col min="12" max="12" width="18" customWidth="1"/>
  </cols>
  <sheetData>
    <row r="1" spans="1:12" ht="32.049999999999997" customHeight="1">
      <c r="A1" s="31" t="s">
        <v>303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8" customHeight="1">
      <c r="A2" s="34" t="s">
        <v>304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spans="1:12" ht="32.049999999999997" customHeight="1">
      <c r="A4" s="6" t="s">
        <v>305</v>
      </c>
      <c r="B4" s="6" t="s">
        <v>39</v>
      </c>
      <c r="C4" s="6" t="s">
        <v>40</v>
      </c>
      <c r="D4" s="6" t="s">
        <v>306</v>
      </c>
      <c r="E4" s="6" t="s">
        <v>37</v>
      </c>
      <c r="F4" s="6" t="s">
        <v>307</v>
      </c>
      <c r="G4" s="6" t="s">
        <v>308</v>
      </c>
      <c r="H4" s="6" t="s">
        <v>41</v>
      </c>
      <c r="I4" s="6" t="s">
        <v>309</v>
      </c>
      <c r="J4" s="6" t="s">
        <v>310</v>
      </c>
      <c r="K4" s="6" t="s">
        <v>311</v>
      </c>
      <c r="L4" s="6" t="s">
        <v>16</v>
      </c>
    </row>
    <row r="5" spans="1:12">
      <c r="A5" s="7">
        <v>2</v>
      </c>
      <c r="B5" s="7" t="s">
        <v>108</v>
      </c>
      <c r="C5" s="7" t="s">
        <v>108</v>
      </c>
      <c r="D5" s="7">
        <v>0</v>
      </c>
      <c r="E5" s="7" t="s">
        <v>75</v>
      </c>
      <c r="F5" s="7"/>
      <c r="G5" s="7"/>
      <c r="H5" s="8">
        <v>3635</v>
      </c>
      <c r="I5" s="8">
        <v>120</v>
      </c>
      <c r="J5" s="7" t="s">
        <v>312</v>
      </c>
      <c r="K5" s="8">
        <v>3635</v>
      </c>
      <c r="L5" s="12" t="s">
        <v>313</v>
      </c>
    </row>
    <row r="6" spans="1:12">
      <c r="A6" s="13">
        <v>3</v>
      </c>
      <c r="B6" s="13" t="s">
        <v>82</v>
      </c>
      <c r="C6" s="13" t="s">
        <v>82</v>
      </c>
      <c r="D6" s="13">
        <v>1</v>
      </c>
      <c r="E6" s="13" t="s">
        <v>75</v>
      </c>
      <c r="F6" s="13"/>
      <c r="G6" s="13"/>
      <c r="H6" s="14">
        <v>4173</v>
      </c>
      <c r="I6" s="14">
        <v>120</v>
      </c>
      <c r="J6" s="13" t="s">
        <v>312</v>
      </c>
      <c r="K6" s="14">
        <v>4173</v>
      </c>
      <c r="L6" s="17" t="s">
        <v>313</v>
      </c>
    </row>
    <row r="7" spans="1:12">
      <c r="A7" s="7">
        <v>4</v>
      </c>
      <c r="B7" s="7" t="s">
        <v>100</v>
      </c>
      <c r="C7" s="7" t="s">
        <v>100</v>
      </c>
      <c r="D7" s="7">
        <v>2</v>
      </c>
      <c r="E7" s="7" t="s">
        <v>75</v>
      </c>
      <c r="F7" s="7"/>
      <c r="G7" s="7"/>
      <c r="H7" s="8">
        <v>4557</v>
      </c>
      <c r="I7" s="8">
        <v>120</v>
      </c>
      <c r="J7" s="7" t="s">
        <v>312</v>
      </c>
      <c r="K7" s="8">
        <v>4557</v>
      </c>
      <c r="L7" s="12" t="s">
        <v>313</v>
      </c>
    </row>
    <row r="8" spans="1:12">
      <c r="A8" s="13">
        <v>5</v>
      </c>
      <c r="B8" s="13" t="s">
        <v>110</v>
      </c>
      <c r="C8" s="13" t="s">
        <v>110</v>
      </c>
      <c r="D8" s="13">
        <v>3</v>
      </c>
      <c r="E8" s="13" t="s">
        <v>75</v>
      </c>
      <c r="F8" s="13"/>
      <c r="G8" s="13"/>
      <c r="H8" s="14">
        <v>4864</v>
      </c>
      <c r="I8" s="14">
        <v>120</v>
      </c>
      <c r="J8" s="13" t="s">
        <v>312</v>
      </c>
      <c r="K8" s="14">
        <v>4864</v>
      </c>
      <c r="L8" s="17" t="s">
        <v>313</v>
      </c>
    </row>
    <row r="9" spans="1:12">
      <c r="A9" s="7">
        <v>6</v>
      </c>
      <c r="B9" s="7" t="s">
        <v>76</v>
      </c>
      <c r="C9" s="7" t="s">
        <v>76</v>
      </c>
      <c r="D9" s="7">
        <v>4</v>
      </c>
      <c r="E9" s="7" t="s">
        <v>75</v>
      </c>
      <c r="F9" s="7"/>
      <c r="G9" s="7"/>
      <c r="H9" s="8">
        <v>5120</v>
      </c>
      <c r="I9" s="8">
        <v>120</v>
      </c>
      <c r="J9" s="7" t="s">
        <v>312</v>
      </c>
      <c r="K9" s="8">
        <v>5120</v>
      </c>
      <c r="L9" s="12" t="s">
        <v>313</v>
      </c>
    </row>
    <row r="10" spans="1:12">
      <c r="A10" s="13">
        <v>7</v>
      </c>
      <c r="B10" s="13" t="s">
        <v>211</v>
      </c>
      <c r="C10" s="13" t="s">
        <v>211</v>
      </c>
      <c r="D10" s="13">
        <v>5</v>
      </c>
      <c r="E10" s="13" t="s">
        <v>75</v>
      </c>
      <c r="F10" s="13"/>
      <c r="G10" s="13"/>
      <c r="H10" s="14">
        <v>5274</v>
      </c>
      <c r="I10" s="14">
        <v>120</v>
      </c>
      <c r="J10" s="13" t="s">
        <v>312</v>
      </c>
      <c r="K10" s="14">
        <v>5274</v>
      </c>
      <c r="L10" s="17" t="s">
        <v>313</v>
      </c>
    </row>
    <row r="11" spans="1:12">
      <c r="A11" s="7">
        <v>8</v>
      </c>
      <c r="B11" s="7" t="s">
        <v>90</v>
      </c>
      <c r="C11" s="7" t="s">
        <v>98</v>
      </c>
      <c r="D11" s="7">
        <v>10</v>
      </c>
      <c r="E11" s="7" t="s">
        <v>72</v>
      </c>
      <c r="F11" s="7"/>
      <c r="G11" s="7"/>
      <c r="H11" s="8">
        <v>4224</v>
      </c>
      <c r="I11" s="8">
        <v>120</v>
      </c>
      <c r="J11" s="7" t="s">
        <v>312</v>
      </c>
      <c r="K11" s="8">
        <v>4224</v>
      </c>
      <c r="L11" s="12" t="s">
        <v>313</v>
      </c>
    </row>
    <row r="12" spans="1:12">
      <c r="A12" s="13">
        <v>9</v>
      </c>
      <c r="B12" s="13" t="s">
        <v>65</v>
      </c>
      <c r="C12" s="13" t="s">
        <v>88</v>
      </c>
      <c r="D12" s="13">
        <v>11</v>
      </c>
      <c r="E12" s="13" t="s">
        <v>72</v>
      </c>
      <c r="F12" s="13"/>
      <c r="G12" s="13"/>
      <c r="H12" s="14">
        <v>4557</v>
      </c>
      <c r="I12" s="14">
        <v>120</v>
      </c>
      <c r="J12" s="13" t="s">
        <v>312</v>
      </c>
      <c r="K12" s="14">
        <v>4557</v>
      </c>
      <c r="L12" s="17" t="s">
        <v>313</v>
      </c>
    </row>
    <row r="13" spans="1:12">
      <c r="A13" s="7">
        <v>10</v>
      </c>
      <c r="B13" s="7" t="s">
        <v>67</v>
      </c>
      <c r="C13" s="7" t="s">
        <v>73</v>
      </c>
      <c r="D13" s="7">
        <v>12</v>
      </c>
      <c r="E13" s="7" t="s">
        <v>72</v>
      </c>
      <c r="F13" s="7"/>
      <c r="G13" s="7"/>
      <c r="H13" s="8">
        <v>4736</v>
      </c>
      <c r="I13" s="8">
        <v>120</v>
      </c>
      <c r="J13" s="7" t="s">
        <v>312</v>
      </c>
      <c r="K13" s="8">
        <v>4736</v>
      </c>
      <c r="L13" s="12" t="s">
        <v>313</v>
      </c>
    </row>
    <row r="14" spans="1:12">
      <c r="A14" s="13">
        <v>11</v>
      </c>
      <c r="B14" s="13" t="s">
        <v>70</v>
      </c>
      <c r="C14" s="13" t="s">
        <v>94</v>
      </c>
      <c r="D14" s="13">
        <v>13</v>
      </c>
      <c r="E14" s="13" t="s">
        <v>72</v>
      </c>
      <c r="F14" s="13"/>
      <c r="G14" s="13"/>
      <c r="H14" s="14">
        <v>5043</v>
      </c>
      <c r="I14" s="14">
        <v>120</v>
      </c>
      <c r="J14" s="13" t="s">
        <v>312</v>
      </c>
      <c r="K14" s="14">
        <v>5043</v>
      </c>
      <c r="L14" s="17" t="s">
        <v>313</v>
      </c>
    </row>
    <row r="15" spans="1:12">
      <c r="A15" s="7">
        <v>12</v>
      </c>
      <c r="B15" s="7" t="s">
        <v>104</v>
      </c>
      <c r="C15" s="7" t="s">
        <v>128</v>
      </c>
      <c r="D15" s="7">
        <v>14</v>
      </c>
      <c r="E15" s="7" t="s">
        <v>72</v>
      </c>
      <c r="F15" s="7"/>
      <c r="G15" s="7"/>
      <c r="H15" s="8">
        <v>5197</v>
      </c>
      <c r="I15" s="8">
        <v>120</v>
      </c>
      <c r="J15" s="7" t="s">
        <v>312</v>
      </c>
      <c r="K15" s="8">
        <v>5197</v>
      </c>
      <c r="L15" s="12" t="s">
        <v>313</v>
      </c>
    </row>
    <row r="16" spans="1:12">
      <c r="A16" s="13">
        <v>13</v>
      </c>
      <c r="B16" s="13" t="s">
        <v>112</v>
      </c>
      <c r="C16" s="13" t="s">
        <v>129</v>
      </c>
      <c r="D16" s="13">
        <v>15</v>
      </c>
      <c r="E16" s="13" t="s">
        <v>72</v>
      </c>
      <c r="F16" s="13"/>
      <c r="G16" s="13"/>
      <c r="H16" s="14">
        <v>5400</v>
      </c>
      <c r="I16" s="14">
        <v>120</v>
      </c>
      <c r="J16" s="13" t="s">
        <v>312</v>
      </c>
      <c r="K16" s="14">
        <v>5400</v>
      </c>
      <c r="L16" s="17" t="s">
        <v>313</v>
      </c>
    </row>
    <row r="17" spans="1:12">
      <c r="A17" s="7">
        <v>14</v>
      </c>
      <c r="B17" s="7" t="s">
        <v>118</v>
      </c>
      <c r="C17" s="7" t="s">
        <v>119</v>
      </c>
      <c r="D17" s="7">
        <v>16</v>
      </c>
      <c r="E17" s="7" t="s">
        <v>72</v>
      </c>
      <c r="F17" s="7"/>
      <c r="G17" s="7"/>
      <c r="H17" s="8">
        <v>5581</v>
      </c>
      <c r="I17" s="8">
        <v>120</v>
      </c>
      <c r="J17" s="7" t="s">
        <v>312</v>
      </c>
      <c r="K17" s="8">
        <v>5581</v>
      </c>
      <c r="L17" s="12" t="s">
        <v>313</v>
      </c>
    </row>
    <row r="18" spans="1:12">
      <c r="A18" s="13">
        <v>15</v>
      </c>
      <c r="B18" s="13" t="s">
        <v>314</v>
      </c>
      <c r="C18" s="13" t="s">
        <v>315</v>
      </c>
      <c r="D18" s="13">
        <v>17</v>
      </c>
      <c r="E18" s="13" t="s">
        <v>72</v>
      </c>
      <c r="F18" s="13"/>
      <c r="G18" s="13"/>
      <c r="H18" s="14">
        <v>5939</v>
      </c>
      <c r="I18" s="14">
        <v>120</v>
      </c>
      <c r="J18" s="13" t="s">
        <v>312</v>
      </c>
      <c r="K18" s="14">
        <v>5939</v>
      </c>
      <c r="L18" s="17" t="s">
        <v>313</v>
      </c>
    </row>
    <row r="19" spans="1:12">
      <c r="A19" s="7">
        <v>16</v>
      </c>
      <c r="B19" s="7" t="s">
        <v>90</v>
      </c>
      <c r="C19" s="7" t="s">
        <v>90</v>
      </c>
      <c r="D19" s="7">
        <v>20</v>
      </c>
      <c r="E19" s="7" t="s">
        <v>64</v>
      </c>
      <c r="F19" s="7"/>
      <c r="G19" s="7"/>
      <c r="H19" s="8">
        <v>4224</v>
      </c>
      <c r="I19" s="8">
        <v>120</v>
      </c>
      <c r="J19" s="7" t="s">
        <v>312</v>
      </c>
      <c r="K19" s="8">
        <v>4224</v>
      </c>
      <c r="L19" s="12" t="s">
        <v>313</v>
      </c>
    </row>
    <row r="20" spans="1:12">
      <c r="A20" s="13">
        <v>17</v>
      </c>
      <c r="B20" s="13" t="s">
        <v>65</v>
      </c>
      <c r="C20" s="13" t="s">
        <v>65</v>
      </c>
      <c r="D20" s="13">
        <v>21</v>
      </c>
      <c r="E20" s="13" t="s">
        <v>64</v>
      </c>
      <c r="F20" s="13"/>
      <c r="G20" s="13"/>
      <c r="H20" s="14">
        <v>4557</v>
      </c>
      <c r="I20" s="14">
        <v>120</v>
      </c>
      <c r="J20" s="13" t="s">
        <v>312</v>
      </c>
      <c r="K20" s="14">
        <v>4557</v>
      </c>
      <c r="L20" s="17" t="s">
        <v>313</v>
      </c>
    </row>
    <row r="21" spans="1:12">
      <c r="A21" s="7">
        <v>18</v>
      </c>
      <c r="B21" s="7" t="s">
        <v>67</v>
      </c>
      <c r="C21" s="7" t="s">
        <v>67</v>
      </c>
      <c r="D21" s="7">
        <v>22</v>
      </c>
      <c r="E21" s="7" t="s">
        <v>64</v>
      </c>
      <c r="F21" s="7"/>
      <c r="G21" s="7"/>
      <c r="H21" s="8">
        <v>4736</v>
      </c>
      <c r="I21" s="8">
        <v>120</v>
      </c>
      <c r="J21" s="7" t="s">
        <v>312</v>
      </c>
      <c r="K21" s="8">
        <v>4736</v>
      </c>
      <c r="L21" s="12" t="s">
        <v>313</v>
      </c>
    </row>
    <row r="22" spans="1:12">
      <c r="A22" s="13">
        <v>19</v>
      </c>
      <c r="B22" s="13" t="s">
        <v>70</v>
      </c>
      <c r="C22" s="13" t="s">
        <v>70</v>
      </c>
      <c r="D22" s="13">
        <v>23</v>
      </c>
      <c r="E22" s="13" t="s">
        <v>64</v>
      </c>
      <c r="F22" s="13"/>
      <c r="G22" s="13"/>
      <c r="H22" s="14">
        <v>5043</v>
      </c>
      <c r="I22" s="14">
        <v>120</v>
      </c>
      <c r="J22" s="13" t="s">
        <v>312</v>
      </c>
      <c r="K22" s="14">
        <v>5043</v>
      </c>
      <c r="L22" s="17" t="s">
        <v>313</v>
      </c>
    </row>
    <row r="23" spans="1:12">
      <c r="A23" s="7">
        <v>20</v>
      </c>
      <c r="B23" s="7" t="s">
        <v>104</v>
      </c>
      <c r="C23" s="7" t="s">
        <v>104</v>
      </c>
      <c r="D23" s="7">
        <v>24</v>
      </c>
      <c r="E23" s="7" t="s">
        <v>64</v>
      </c>
      <c r="F23" s="7"/>
      <c r="G23" s="7"/>
      <c r="H23" s="8">
        <v>5197</v>
      </c>
      <c r="I23" s="8">
        <v>120</v>
      </c>
      <c r="J23" s="7" t="s">
        <v>312</v>
      </c>
      <c r="K23" s="8">
        <v>5197</v>
      </c>
      <c r="L23" s="12" t="s">
        <v>313</v>
      </c>
    </row>
    <row r="24" spans="1:12">
      <c r="A24" s="13">
        <v>21</v>
      </c>
      <c r="B24" s="13" t="s">
        <v>112</v>
      </c>
      <c r="C24" s="13" t="s">
        <v>112</v>
      </c>
      <c r="D24" s="13">
        <v>25</v>
      </c>
      <c r="E24" s="13" t="s">
        <v>64</v>
      </c>
      <c r="F24" s="13"/>
      <c r="G24" s="13"/>
      <c r="H24" s="14">
        <v>5400</v>
      </c>
      <c r="I24" s="14">
        <v>120</v>
      </c>
      <c r="J24" s="13" t="s">
        <v>312</v>
      </c>
      <c r="K24" s="14">
        <v>5400</v>
      </c>
      <c r="L24" s="17" t="s">
        <v>313</v>
      </c>
    </row>
    <row r="25" spans="1:12">
      <c r="A25" s="7">
        <v>22</v>
      </c>
      <c r="B25" s="7" t="s">
        <v>118</v>
      </c>
      <c r="C25" s="7" t="s">
        <v>118</v>
      </c>
      <c r="D25" s="7">
        <v>26</v>
      </c>
      <c r="E25" s="7" t="s">
        <v>64</v>
      </c>
      <c r="F25" s="7"/>
      <c r="G25" s="7"/>
      <c r="H25" s="8">
        <v>5581</v>
      </c>
      <c r="I25" s="8">
        <v>120</v>
      </c>
      <c r="J25" s="7" t="s">
        <v>312</v>
      </c>
      <c r="K25" s="8">
        <v>5581</v>
      </c>
      <c r="L25" s="12" t="s">
        <v>313</v>
      </c>
    </row>
    <row r="26" spans="1:12">
      <c r="A26" s="13">
        <v>23</v>
      </c>
      <c r="B26" s="13" t="s">
        <v>314</v>
      </c>
      <c r="C26" s="13" t="s">
        <v>315</v>
      </c>
      <c r="D26" s="13">
        <v>27</v>
      </c>
      <c r="E26" s="13" t="s">
        <v>64</v>
      </c>
      <c r="F26" s="13"/>
      <c r="G26" s="13"/>
      <c r="H26" s="14">
        <v>5939</v>
      </c>
      <c r="I26" s="14">
        <v>120</v>
      </c>
      <c r="J26" s="13" t="s">
        <v>312</v>
      </c>
      <c r="K26" s="14">
        <v>5939</v>
      </c>
      <c r="L26" s="17" t="s">
        <v>313</v>
      </c>
    </row>
    <row r="27" spans="1:12">
      <c r="A27" s="7">
        <v>24</v>
      </c>
      <c r="B27" s="7" t="s">
        <v>102</v>
      </c>
      <c r="C27" s="7" t="s">
        <v>102</v>
      </c>
      <c r="D27" s="7">
        <v>30</v>
      </c>
      <c r="E27" s="7" t="s">
        <v>61</v>
      </c>
      <c r="F27" s="7"/>
      <c r="G27" s="7"/>
      <c r="H27" s="8">
        <v>4634</v>
      </c>
      <c r="I27" s="8">
        <v>150</v>
      </c>
      <c r="J27" s="7" t="s">
        <v>312</v>
      </c>
      <c r="K27" s="8">
        <v>4634</v>
      </c>
      <c r="L27" s="12" t="s">
        <v>313</v>
      </c>
    </row>
    <row r="28" spans="1:12">
      <c r="A28" s="13">
        <v>25</v>
      </c>
      <c r="B28" s="13" t="s">
        <v>62</v>
      </c>
      <c r="C28" s="13" t="s">
        <v>62</v>
      </c>
      <c r="D28" s="13">
        <v>31</v>
      </c>
      <c r="E28" s="13" t="s">
        <v>61</v>
      </c>
      <c r="F28" s="13"/>
      <c r="G28" s="13"/>
      <c r="H28" s="14">
        <v>4850</v>
      </c>
      <c r="I28" s="14">
        <v>150</v>
      </c>
      <c r="J28" s="13" t="s">
        <v>312</v>
      </c>
      <c r="K28" s="14">
        <v>4850</v>
      </c>
      <c r="L28" s="17" t="s">
        <v>313</v>
      </c>
    </row>
    <row r="29" spans="1:12">
      <c r="A29" s="7">
        <v>26</v>
      </c>
      <c r="B29" s="7" t="s">
        <v>123</v>
      </c>
      <c r="C29" s="7" t="s">
        <v>123</v>
      </c>
      <c r="D29" s="7">
        <v>32</v>
      </c>
      <c r="E29" s="7" t="s">
        <v>61</v>
      </c>
      <c r="F29" s="7"/>
      <c r="G29" s="7"/>
      <c r="H29" s="8">
        <v>5018</v>
      </c>
      <c r="I29" s="8">
        <v>150</v>
      </c>
      <c r="J29" s="7" t="s">
        <v>312</v>
      </c>
      <c r="K29" s="8">
        <v>5018</v>
      </c>
      <c r="L29" s="12" t="s">
        <v>313</v>
      </c>
    </row>
    <row r="30" spans="1:12">
      <c r="A30" s="13">
        <v>27</v>
      </c>
      <c r="B30" s="13" t="s">
        <v>92</v>
      </c>
      <c r="C30" s="13" t="s">
        <v>92</v>
      </c>
      <c r="D30" s="13">
        <v>33</v>
      </c>
      <c r="E30" s="13" t="s">
        <v>61</v>
      </c>
      <c r="F30" s="13"/>
      <c r="G30" s="13"/>
      <c r="H30" s="14">
        <v>5248</v>
      </c>
      <c r="I30" s="14">
        <v>150</v>
      </c>
      <c r="J30" s="13" t="s">
        <v>312</v>
      </c>
      <c r="K30" s="14">
        <v>5248</v>
      </c>
      <c r="L30" s="17" t="s">
        <v>313</v>
      </c>
    </row>
    <row r="31" spans="1:12">
      <c r="A31" s="7">
        <v>28</v>
      </c>
      <c r="B31" s="7" t="s">
        <v>125</v>
      </c>
      <c r="C31" s="7" t="s">
        <v>125</v>
      </c>
      <c r="D31" s="7">
        <v>34</v>
      </c>
      <c r="E31" s="7" t="s">
        <v>61</v>
      </c>
      <c r="F31" s="7"/>
      <c r="G31" s="7"/>
      <c r="H31" s="8">
        <v>5478</v>
      </c>
      <c r="I31" s="8">
        <v>150</v>
      </c>
      <c r="J31" s="7" t="s">
        <v>312</v>
      </c>
      <c r="K31" s="8">
        <v>5478</v>
      </c>
      <c r="L31" s="12" t="s">
        <v>313</v>
      </c>
    </row>
    <row r="32" spans="1:12">
      <c r="A32" s="13">
        <v>29</v>
      </c>
      <c r="B32" s="13" t="s">
        <v>248</v>
      </c>
      <c r="C32" s="13" t="s">
        <v>248</v>
      </c>
      <c r="D32" s="13">
        <v>35</v>
      </c>
      <c r="E32" s="13" t="s">
        <v>61</v>
      </c>
      <c r="F32" s="13"/>
      <c r="G32" s="13"/>
      <c r="H32" s="14">
        <v>5888</v>
      </c>
      <c r="I32" s="14">
        <v>150</v>
      </c>
      <c r="J32" s="13" t="s">
        <v>312</v>
      </c>
      <c r="K32" s="14">
        <v>5888</v>
      </c>
      <c r="L32" s="17" t="s">
        <v>313</v>
      </c>
    </row>
    <row r="33" spans="1:12">
      <c r="A33" s="7">
        <v>30</v>
      </c>
      <c r="B33" s="7" t="s">
        <v>57</v>
      </c>
      <c r="C33" s="7" t="s">
        <v>57</v>
      </c>
      <c r="D33" s="7">
        <v>100</v>
      </c>
      <c r="E33" s="7" t="s">
        <v>55</v>
      </c>
      <c r="F33" s="7"/>
      <c r="G33" s="7"/>
      <c r="H33" s="8">
        <v>5304</v>
      </c>
      <c r="I33" s="8">
        <v>250</v>
      </c>
      <c r="J33" s="7" t="s">
        <v>312</v>
      </c>
      <c r="K33" s="8">
        <v>5304</v>
      </c>
      <c r="L33" s="12" t="s">
        <v>313</v>
      </c>
    </row>
    <row r="34" spans="1:12">
      <c r="A34" s="13">
        <v>31</v>
      </c>
      <c r="B34" s="13" t="s">
        <v>96</v>
      </c>
      <c r="C34" s="13" t="s">
        <v>96</v>
      </c>
      <c r="D34" s="13">
        <v>101</v>
      </c>
      <c r="E34" s="13" t="s">
        <v>55</v>
      </c>
      <c r="F34" s="13"/>
      <c r="G34" s="13"/>
      <c r="H34" s="14">
        <v>5632</v>
      </c>
      <c r="I34" s="14">
        <v>250</v>
      </c>
      <c r="J34" s="13" t="s">
        <v>312</v>
      </c>
      <c r="K34" s="14">
        <v>5632</v>
      </c>
      <c r="L34" s="17" t="s">
        <v>313</v>
      </c>
    </row>
    <row r="35" spans="1:12">
      <c r="A35" s="7">
        <v>32</v>
      </c>
      <c r="B35" s="7" t="s">
        <v>84</v>
      </c>
      <c r="C35" s="7" t="s">
        <v>84</v>
      </c>
      <c r="D35" s="7">
        <v>102</v>
      </c>
      <c r="E35" s="7" t="s">
        <v>55</v>
      </c>
      <c r="F35" s="7"/>
      <c r="G35" s="7"/>
      <c r="H35" s="8">
        <v>5896</v>
      </c>
      <c r="I35" s="8">
        <v>250</v>
      </c>
      <c r="J35" s="7" t="s">
        <v>312</v>
      </c>
      <c r="K35" s="8">
        <v>5896</v>
      </c>
      <c r="L35" s="12" t="s">
        <v>313</v>
      </c>
    </row>
    <row r="36" spans="1:12">
      <c r="A36" s="13">
        <v>33</v>
      </c>
      <c r="B36" s="13" t="s">
        <v>122</v>
      </c>
      <c r="C36" s="13" t="s">
        <v>122</v>
      </c>
      <c r="D36" s="13">
        <v>102</v>
      </c>
      <c r="E36" s="13" t="s">
        <v>55</v>
      </c>
      <c r="F36" s="13"/>
      <c r="G36" s="13"/>
      <c r="H36" s="14">
        <v>6195</v>
      </c>
      <c r="I36" s="14">
        <v>250</v>
      </c>
      <c r="J36" s="13" t="s">
        <v>312</v>
      </c>
      <c r="K36" s="14">
        <v>6195</v>
      </c>
      <c r="L36" s="17" t="s">
        <v>313</v>
      </c>
    </row>
    <row r="37" spans="1:12">
      <c r="A37" s="7">
        <v>34</v>
      </c>
      <c r="B37" s="7" t="s">
        <v>316</v>
      </c>
      <c r="C37" s="7" t="s">
        <v>316</v>
      </c>
      <c r="D37" s="7">
        <v>103</v>
      </c>
      <c r="E37" s="7" t="s">
        <v>55</v>
      </c>
      <c r="F37" s="7"/>
      <c r="G37" s="7"/>
      <c r="H37" s="8">
        <v>6195</v>
      </c>
      <c r="I37" s="8">
        <v>6280</v>
      </c>
      <c r="J37" s="7"/>
      <c r="K37" s="8">
        <v>6195</v>
      </c>
      <c r="L37" s="12" t="s">
        <v>313</v>
      </c>
    </row>
    <row r="38" spans="1:12">
      <c r="A38" s="13">
        <v>35</v>
      </c>
      <c r="B38" s="13" t="s">
        <v>78</v>
      </c>
      <c r="C38" s="13" t="s">
        <v>78</v>
      </c>
      <c r="D38" s="13">
        <v>104</v>
      </c>
      <c r="E38" s="13" t="s">
        <v>55</v>
      </c>
      <c r="F38" s="13"/>
      <c r="G38" s="13"/>
      <c r="H38" s="14">
        <v>6451</v>
      </c>
      <c r="I38" s="14">
        <v>250</v>
      </c>
      <c r="J38" s="13" t="s">
        <v>312</v>
      </c>
      <c r="K38" s="14">
        <v>6462</v>
      </c>
      <c r="L38" s="17" t="s">
        <v>317</v>
      </c>
    </row>
    <row r="39" spans="1:12">
      <c r="A39" s="7">
        <v>36</v>
      </c>
      <c r="B39" s="7" t="s">
        <v>318</v>
      </c>
      <c r="C39" s="7" t="s">
        <v>318</v>
      </c>
      <c r="D39" s="7">
        <v>105</v>
      </c>
      <c r="E39" s="7" t="s">
        <v>55</v>
      </c>
      <c r="F39" s="7"/>
      <c r="G39" s="7"/>
      <c r="H39" s="8">
        <v>6800</v>
      </c>
      <c r="I39" s="8">
        <v>250</v>
      </c>
      <c r="J39" s="7" t="s">
        <v>312</v>
      </c>
      <c r="K39" s="8">
        <v>6800</v>
      </c>
      <c r="L39" s="12" t="s">
        <v>313</v>
      </c>
    </row>
    <row r="40" spans="1:12">
      <c r="A40" s="13">
        <v>37</v>
      </c>
      <c r="B40" s="13" t="s">
        <v>127</v>
      </c>
      <c r="C40" s="13" t="s">
        <v>127</v>
      </c>
      <c r="D40" s="13">
        <v>106</v>
      </c>
      <c r="E40" s="13" t="s">
        <v>55</v>
      </c>
      <c r="F40" s="13"/>
      <c r="G40" s="13" t="s">
        <v>126</v>
      </c>
      <c r="H40" s="14">
        <v>6000</v>
      </c>
      <c r="I40" s="14">
        <v>999</v>
      </c>
      <c r="J40" s="13" t="s">
        <v>312</v>
      </c>
      <c r="K40" s="14">
        <v>6000</v>
      </c>
      <c r="L40" s="17" t="s">
        <v>313</v>
      </c>
    </row>
    <row r="41" spans="1:12">
      <c r="A41" s="7">
        <v>38</v>
      </c>
      <c r="B41" s="7" t="s">
        <v>319</v>
      </c>
      <c r="C41" s="7" t="s">
        <v>319</v>
      </c>
      <c r="D41" s="7">
        <v>107</v>
      </c>
      <c r="E41" s="7" t="s">
        <v>55</v>
      </c>
      <c r="F41" s="7"/>
      <c r="G41" s="7" t="s">
        <v>126</v>
      </c>
      <c r="H41" s="8">
        <v>6800</v>
      </c>
      <c r="I41" s="8">
        <v>999</v>
      </c>
      <c r="J41" s="7" t="s">
        <v>312</v>
      </c>
      <c r="K41" s="8">
        <v>6800</v>
      </c>
      <c r="L41" s="12" t="s">
        <v>313</v>
      </c>
    </row>
    <row r="42" spans="1:12">
      <c r="A42" s="13">
        <v>39</v>
      </c>
      <c r="B42" s="13" t="s">
        <v>120</v>
      </c>
      <c r="C42" s="13" t="s">
        <v>124</v>
      </c>
      <c r="D42" s="13">
        <v>110</v>
      </c>
      <c r="E42" s="13" t="s">
        <v>72</v>
      </c>
      <c r="F42" s="13"/>
      <c r="G42" s="13"/>
      <c r="H42" s="14">
        <v>5000</v>
      </c>
      <c r="I42" s="14">
        <v>250</v>
      </c>
      <c r="J42" s="13" t="s">
        <v>312</v>
      </c>
      <c r="K42" s="14">
        <v>5000</v>
      </c>
      <c r="L42" s="17" t="s">
        <v>313</v>
      </c>
    </row>
    <row r="43" spans="1:12">
      <c r="A43" s="7">
        <v>40</v>
      </c>
      <c r="B43" s="7" t="s">
        <v>115</v>
      </c>
      <c r="C43" s="7" t="s">
        <v>116</v>
      </c>
      <c r="D43" s="7">
        <v>111</v>
      </c>
      <c r="E43" s="7" t="s">
        <v>72</v>
      </c>
      <c r="F43" s="7"/>
      <c r="G43" s="7"/>
      <c r="H43" s="8">
        <v>5500</v>
      </c>
      <c r="I43" s="8">
        <v>999</v>
      </c>
      <c r="J43" s="7" t="s">
        <v>312</v>
      </c>
      <c r="K43" s="8">
        <v>5500</v>
      </c>
      <c r="L43" s="12" t="s">
        <v>313</v>
      </c>
    </row>
    <row r="44" spans="1:12">
      <c r="A44" s="13">
        <v>41</v>
      </c>
      <c r="B44" s="13" t="s">
        <v>198</v>
      </c>
      <c r="C44" s="13" t="s">
        <v>320</v>
      </c>
      <c r="D44" s="13">
        <v>112</v>
      </c>
      <c r="E44" s="13" t="s">
        <v>72</v>
      </c>
      <c r="F44" s="13"/>
      <c r="G44" s="13"/>
      <c r="H44" s="14">
        <v>6000</v>
      </c>
      <c r="I44" s="14">
        <v>999</v>
      </c>
      <c r="J44" s="13" t="s">
        <v>312</v>
      </c>
      <c r="K44" s="14">
        <v>6000</v>
      </c>
      <c r="L44" s="17" t="s">
        <v>313</v>
      </c>
    </row>
    <row r="45" spans="1:12">
      <c r="A45" s="7">
        <v>42</v>
      </c>
      <c r="B45" s="7" t="s">
        <v>120</v>
      </c>
      <c r="C45" s="7" t="s">
        <v>121</v>
      </c>
      <c r="D45" s="7">
        <v>130</v>
      </c>
      <c r="E45" s="7" t="s">
        <v>64</v>
      </c>
      <c r="F45" s="7"/>
      <c r="G45" s="7"/>
      <c r="H45" s="8">
        <v>5000</v>
      </c>
      <c r="I45" s="8">
        <v>250</v>
      </c>
      <c r="J45" s="7" t="s">
        <v>312</v>
      </c>
      <c r="K45" s="8">
        <v>5000</v>
      </c>
      <c r="L45" s="12" t="s">
        <v>313</v>
      </c>
    </row>
    <row r="46" spans="1:12">
      <c r="A46" s="13">
        <v>43</v>
      </c>
      <c r="B46" s="13" t="s">
        <v>115</v>
      </c>
      <c r="C46" s="13" t="s">
        <v>115</v>
      </c>
      <c r="D46" s="13">
        <v>131</v>
      </c>
      <c r="E46" s="13" t="s">
        <v>64</v>
      </c>
      <c r="F46" s="13"/>
      <c r="G46" s="13"/>
      <c r="H46" s="14">
        <v>5500</v>
      </c>
      <c r="I46" s="14">
        <v>999</v>
      </c>
      <c r="J46" s="13" t="s">
        <v>312</v>
      </c>
      <c r="K46" s="14">
        <v>5500</v>
      </c>
      <c r="L46" s="17" t="s">
        <v>313</v>
      </c>
    </row>
    <row r="47" spans="1:12">
      <c r="A47" s="7">
        <v>44</v>
      </c>
      <c r="B47" s="7" t="s">
        <v>198</v>
      </c>
      <c r="C47" s="7" t="s">
        <v>198</v>
      </c>
      <c r="D47" s="7">
        <v>132</v>
      </c>
      <c r="E47" s="7" t="s">
        <v>64</v>
      </c>
      <c r="F47" s="7"/>
      <c r="G47" s="7"/>
      <c r="H47" s="8">
        <v>6000</v>
      </c>
      <c r="I47" s="8">
        <v>999</v>
      </c>
      <c r="J47" s="7" t="s">
        <v>312</v>
      </c>
      <c r="K47" s="8">
        <v>6000</v>
      </c>
      <c r="L47" s="12" t="s">
        <v>313</v>
      </c>
    </row>
  </sheetData>
  <mergeCells count="2">
    <mergeCell ref="A2:L2"/>
    <mergeCell ref="A1:L1"/>
  </mergeCells>
  <phoneticPr fontId="15" type="noConversion"/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6" customWidth="1"/>
    <col min="2" max="2" width="8" customWidth="1"/>
    <col min="3" max="3" width="13.53515625" customWidth="1"/>
    <col min="4" max="5" width="10" customWidth="1"/>
    <col min="6" max="6" width="12.4609375" customWidth="1"/>
  </cols>
  <sheetData>
    <row r="1" spans="1:6" ht="32.049999999999997" customHeight="1">
      <c r="A1" s="31" t="s">
        <v>321</v>
      </c>
      <c r="B1" s="26"/>
      <c r="C1" s="26"/>
      <c r="D1" s="26"/>
      <c r="E1" s="26"/>
      <c r="F1" s="26"/>
    </row>
    <row r="2" spans="1:6" ht="28" customHeight="1">
      <c r="A2" s="34" t="s">
        <v>322</v>
      </c>
      <c r="B2" s="26"/>
      <c r="C2" s="26"/>
      <c r="D2" s="26"/>
      <c r="E2" s="26"/>
      <c r="F2" s="26"/>
    </row>
    <row r="4" spans="1:6" ht="32.049999999999997" customHeight="1">
      <c r="A4" s="6" t="s">
        <v>37</v>
      </c>
      <c r="B4" s="6" t="s">
        <v>323</v>
      </c>
      <c r="C4" s="6" t="s">
        <v>324</v>
      </c>
      <c r="D4" s="6" t="s">
        <v>325</v>
      </c>
      <c r="E4" s="6" t="s">
        <v>326</v>
      </c>
      <c r="F4" s="6" t="s">
        <v>327</v>
      </c>
    </row>
    <row r="5" spans="1:6">
      <c r="A5" s="7" t="s">
        <v>75</v>
      </c>
      <c r="B5" s="11">
        <v>700</v>
      </c>
      <c r="C5" s="11">
        <v>101880206</v>
      </c>
      <c r="D5" s="11">
        <v>540</v>
      </c>
      <c r="E5" s="11">
        <v>160</v>
      </c>
      <c r="F5" s="23">
        <v>14924035</v>
      </c>
    </row>
    <row r="6" spans="1:6">
      <c r="A6" s="13" t="s">
        <v>72</v>
      </c>
      <c r="B6" s="16">
        <v>1172</v>
      </c>
      <c r="C6" s="16">
        <v>102791687</v>
      </c>
      <c r="D6" s="16">
        <v>1168</v>
      </c>
      <c r="E6" s="16">
        <v>4</v>
      </c>
      <c r="F6" s="24">
        <v>97053</v>
      </c>
    </row>
    <row r="7" spans="1:6">
      <c r="A7" s="7" t="s">
        <v>64</v>
      </c>
      <c r="B7" s="11">
        <v>1085</v>
      </c>
      <c r="C7" s="11">
        <v>180088235</v>
      </c>
      <c r="D7" s="11">
        <v>1085</v>
      </c>
      <c r="E7" s="11">
        <v>0</v>
      </c>
      <c r="F7" s="23">
        <v>0</v>
      </c>
    </row>
    <row r="8" spans="1:6">
      <c r="A8" s="13" t="s">
        <v>61</v>
      </c>
      <c r="B8" s="16">
        <v>932</v>
      </c>
      <c r="C8" s="16">
        <v>161617723</v>
      </c>
      <c r="D8" s="16">
        <v>867</v>
      </c>
      <c r="E8" s="16">
        <v>65</v>
      </c>
      <c r="F8" s="24">
        <v>4485026</v>
      </c>
    </row>
    <row r="9" spans="1:6">
      <c r="A9" s="7" t="s">
        <v>55</v>
      </c>
      <c r="B9" s="11">
        <v>465</v>
      </c>
      <c r="C9" s="11">
        <v>125609332</v>
      </c>
      <c r="D9" s="11">
        <v>439</v>
      </c>
      <c r="E9" s="11">
        <v>26</v>
      </c>
      <c r="F9" s="23">
        <v>5017587</v>
      </c>
    </row>
    <row r="10" spans="1:6">
      <c r="A10" s="13" t="s">
        <v>328</v>
      </c>
      <c r="B10" s="16">
        <v>450</v>
      </c>
      <c r="C10" s="16">
        <v>0</v>
      </c>
      <c r="D10" s="16">
        <v>0</v>
      </c>
      <c r="E10" s="16">
        <v>450</v>
      </c>
      <c r="F10" s="24">
        <v>0</v>
      </c>
    </row>
  </sheetData>
  <mergeCells count="2">
    <mergeCell ref="A2:F2"/>
    <mergeCell ref="A1:F1"/>
  </mergeCells>
  <phoneticPr fontId="15" type="noConversion"/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结论摘要</vt:lpstr>
      <vt:lpstr>上限建议</vt:lpstr>
      <vt:lpstr>跨代分组</vt:lpstr>
      <vt:lpstr>规则快照</vt:lpstr>
      <vt:lpstr>数据质量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Licheng Wang</cp:lastModifiedBy>
  <dcterms:created xsi:type="dcterms:W3CDTF">2026-08-26T11:17:08Z</dcterms:created>
  <dcterms:modified xsi:type="dcterms:W3CDTF">2026-08-26T11:17:21Z</dcterms:modified>
</cp:coreProperties>
</file>