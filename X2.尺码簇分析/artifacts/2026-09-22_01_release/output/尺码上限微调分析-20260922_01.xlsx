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摘要" sheetId="1" state="visible" r:id="rId1"/>
    <sheet xmlns:r="http://schemas.openxmlformats.org/officeDocument/2006/relationships" name="上限建议" sheetId="2" state="visible" r:id="rId2"/>
    <sheet xmlns:r="http://schemas.openxmlformats.org/officeDocument/2006/relationships" name="跨代分组" sheetId="3" state="visible" r:id="rId3"/>
    <sheet xmlns:r="http://schemas.openxmlformats.org/officeDocument/2006/relationships" name="规则快照" sheetId="4" state="visible" r:id="rId4"/>
    <sheet xmlns:r="http://schemas.openxmlformats.org/officeDocument/2006/relationships" name="数据质量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0.0%"/>
  </numFmts>
  <fonts count="15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75569"/>
      <sz val="10"/>
    </font>
    <font>
      <name val="Microsoft YaHei"/>
      <b val="1"/>
      <color rgb="0017324D"/>
      <sz val="10"/>
    </font>
    <font>
      <name val="Microsoft YaHei"/>
      <color rgb="00334155"/>
      <sz val="9"/>
    </font>
    <font>
      <name val="Consolas"/>
      <color rgb="00334155"/>
      <sz val="9"/>
    </font>
    <font>
      <name val="Microsoft YaHei"/>
      <b val="1"/>
      <color rgb="00475569"/>
      <sz val="9"/>
    </font>
    <font>
      <name val="Microsoft YaHei"/>
      <b val="1"/>
      <color rgb="0017324D"/>
      <sz val="18"/>
    </font>
    <font>
      <name val="Microsoft YaHei"/>
      <b val="1"/>
      <color rgb="0017324D"/>
      <sz val="13"/>
    </font>
    <font>
      <name val="Microsoft YaHei"/>
      <b val="1"/>
      <color rgb="00FFFFFF"/>
      <sz val="10"/>
    </font>
    <font>
      <name val="Microsoft YaHei"/>
      <color rgb="001E293B"/>
      <sz val="10"/>
    </font>
    <font>
      <name val="Microsoft YaHei"/>
      <color rgb="001E293B"/>
      <sz val="9"/>
    </font>
    <font>
      <name val="Microsoft YaHei"/>
      <b val="1"/>
      <color rgb="002563EB"/>
      <sz val="9"/>
    </font>
    <font>
      <name val="Microsoft YaHei"/>
      <b val="1"/>
      <color rgb="0015803D"/>
      <sz val="9"/>
    </font>
    <font>
      <name val="Microsoft YaHei"/>
      <b val="1"/>
      <color rgb="00D97706"/>
      <sz val="9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3" borderId="0" pivotButton="0" quotePrefix="0" xfId="0"/>
    <xf numFmtId="3" fontId="7" fillId="4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6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/>
    </xf>
    <xf numFmtId="1" fontId="11" fillId="7" borderId="0" applyAlignment="1" pivotButton="0" quotePrefix="0" xfId="0">
      <alignment vertical="center"/>
    </xf>
    <xf numFmtId="164" fontId="11" fillId="7" borderId="0" applyAlignment="1" pivotButton="0" quotePrefix="0" xfId="0">
      <alignment vertical="center"/>
    </xf>
    <xf numFmtId="3" fontId="11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/>
    </xf>
    <xf numFmtId="0" fontId="14" fillId="8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7" borderId="0" applyAlignment="1" pivotButton="0" quotePrefix="0" xfId="0">
      <alignment vertical="center"/>
    </xf>
    <xf numFmtId="3" fontId="11" fillId="0" borderId="0" applyAlignment="1" pivotButton="0" quotePrefix="0" xfId="0">
      <alignment vertical="center" wrapText="1"/>
    </xf>
    <xf numFmtId="3" fontId="11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undaryRecommendations" displayName="BoundaryRecommendations" ref="A4:S37" headerRowCount="1">
  <autoFilter ref="A4:S37"/>
  <tableColumns count="19">
    <tableColumn id="1" name="源尺码行"/>
    <tableColumn id="2" name="分类"/>
    <tableColumn id="3" name="通道"/>
    <tableColumn id="4" name="逻辑尺码"/>
    <tableColumn id="5" name="内部尺码"/>
    <tableColumn id="6" name="现行长上限"/>
    <tableColumn id="7" name="模拟候选上限"/>
    <tableColumn id="8" name="模拟Δ-mm"/>
    <tableColumn id="9" name="建议落地上限"/>
    <tableColumn id="10" name="决策"/>
    <tableColumn id="11" name="换档记录数"/>
    <tableColumn id="12" name="换档销量"/>
    <tableColumn id="13" name="跨代归组改善销量"/>
    <tableColumn id="14" name="跨代纯度下降销量"/>
    <tableColumn id="15" name="非目标连带销量"/>
    <tableColumn id="16" name="±25mm边界记录"/>
    <tableColumn id="17" name="±25mm边界销量"/>
    <tableColumn id="18" name="改善车型"/>
    <tableColumn id="19" name="结论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milyClusters" displayName="FamilyClusters" ref="A4:I84" headerRowCount="1">
  <autoFilter ref="A4:I84"/>
  <tableColumns count="9">
    <tableColumn id="1" name="车型家族"/>
    <tableColumn id="2" name="分类"/>
    <tableColumn id="3" name="通道"/>
    <tableColumn id="4" name="代际数"/>
    <tableColumn id="5" name="家族总销量"/>
    <tableColumn id="6" name="现有尺码分布(销量)"/>
    <tableColumn id="7" name="销量主组"/>
    <tableColumn id="8" name="主组占比"/>
    <tableColumn id="9" name="处理原则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Snapshot" displayName="RuleSnapshot" ref="A4:L47" headerRowCount="1">
  <autoFilter ref="A4:L47"/>
  <tableColumns count="12">
    <tableColumn id="1" name="源行号"/>
    <tableColumn id="2" name="逻辑尺码"/>
    <tableColumn id="3" name="内部尺码"/>
    <tableColumn id="4" name="档位序号"/>
    <tableColumn id="5" name="分类"/>
    <tableColumn id="6" name="CAB"/>
    <tableColumn id="7" name="版本"/>
    <tableColumn id="8" name="现行长上限"/>
    <tableColumn id="9" name="参考插片上限"/>
    <tableColumn id="10" name="使用"/>
    <tableColumn id="11" name="建议长上限"/>
    <tableColumn id="12" name="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Quality" displayName="DataQuality" ref="A4:F10" headerRowCount="1">
  <autoFilter ref="A4:F10"/>
  <tableColumns count="6">
    <tableColumn id="1" name="分类"/>
    <tableColumn id="2" name="记录数"/>
    <tableColumn id="3" name="销量合计"/>
    <tableColumn id="4" name="已匹配尺码"/>
    <tableColumn id="5" name="未匹配尺码"/>
    <tableColumn id="6" name="未匹配销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车型尺码上限微调分析</t>
        </is>
      </c>
    </row>
    <row r="2" ht="28" customHeight="1">
      <c r="A2" s="2" t="inlineStr">
        <is>
          <t>结论先行：乘用车 3L 与普通/W 分界不建议全局改；Accord 等边界车型用手动清单处理。仅 PK-XXL +11 mm 具备低连带的小范围试行条件。</t>
        </is>
      </c>
    </row>
    <row r="4">
      <c r="A4" s="3" t="inlineStr">
        <is>
          <t>源文件</t>
        </is>
      </c>
      <c r="B4" s="4" t="inlineStr">
        <is>
          <t>source\车型数据尺码.xlsx</t>
        </is>
      </c>
    </row>
    <row r="5">
      <c r="A5" s="3" t="inlineStr">
        <is>
          <t>修改时间</t>
        </is>
      </c>
      <c r="B5" s="4" t="inlineStr">
        <is>
          <t>2026-08-26 19:45:15</t>
        </is>
      </c>
    </row>
    <row r="6">
      <c r="A6" s="3" t="inlineStr">
        <is>
          <t>SHA-256</t>
        </is>
      </c>
      <c r="B6" s="5" t="inlineStr">
        <is>
          <t>86fa36393a2088c1fcaa1f5c7ad0721cad403e29e25b7537502d62e5a207abbe</t>
        </is>
      </c>
    </row>
    <row r="8">
      <c r="A8" s="6" t="inlineStr">
        <is>
          <t>总车型记录</t>
        </is>
      </c>
      <c r="C8" s="6" t="inlineStr">
        <is>
          <t>有分类记录</t>
        </is>
      </c>
      <c r="E8" s="6" t="inlineStr">
        <is>
          <t>规则复算差异</t>
        </is>
      </c>
      <c r="G8" s="6" t="inlineStr">
        <is>
          <t>手动候选</t>
        </is>
      </c>
      <c r="I8" s="6" t="inlineStr">
        <is>
          <t>Accord方案连带</t>
        </is>
      </c>
    </row>
    <row r="9">
      <c r="A9" s="7" t="n">
        <v>4804</v>
      </c>
      <c r="C9" s="7" t="n">
        <v>4354</v>
      </c>
      <c r="E9" s="8" t="n">
        <v>0</v>
      </c>
      <c r="G9" s="7" t="n">
        <v>205</v>
      </c>
      <c r="I9" s="7" t="n">
        <v>65</v>
      </c>
    </row>
    <row r="10"/>
    <row r="12">
      <c r="A12" s="9" t="inlineStr">
        <is>
          <t>推荐动作</t>
        </is>
      </c>
    </row>
    <row r="13">
      <c r="A13" s="10" t="inlineStr">
        <is>
          <t>优先级</t>
        </is>
      </c>
      <c r="B13" s="10" t="inlineStr">
        <is>
          <t>对象</t>
        </is>
      </c>
      <c r="C13" s="10" t="inlineStr">
        <is>
          <t>建议</t>
        </is>
      </c>
      <c r="D13" s="10" t="inlineStr">
        <is>
          <t>原因 / 风险控制</t>
        </is>
      </c>
    </row>
    <row r="14" ht="34" customHeight="1">
      <c r="A14" s="11" t="inlineStr">
        <is>
          <t>1</t>
        </is>
      </c>
      <c r="B14" s="11" t="inlineStr">
        <is>
          <t>PK-XXL 长上限</t>
        </is>
      </c>
      <c r="C14" s="11" t="inlineStr">
        <is>
          <t>6451 → 6462 mm，小范围试行</t>
        </is>
      </c>
      <c r="D14" s="11" t="inlineStr">
        <is>
          <t>只影响 2 条 F-250/F-350 Super Duty 记录；先确认向小一档后仍能覆盖。</t>
        </is>
      </c>
    </row>
    <row r="15" ht="34" customHeight="1">
      <c r="A15" s="12" t="inlineStr">
        <is>
          <t>2</t>
        </is>
      </c>
      <c r="B15" s="12" t="inlineStr">
        <is>
          <t>Honda Accord</t>
        </is>
      </c>
      <c r="C15" s="12" t="inlineStr">
        <is>
          <t>不改 3L 全局上限；4 条边界代际手动改到 3XL</t>
        </is>
      </c>
      <c r="D15" s="12" t="inlineStr">
        <is>
          <t>全局 4736 → 4693 会连带 65 条非 Accord 记录换大一档。</t>
        </is>
      </c>
    </row>
    <row r="16" ht="34" customHeight="1">
      <c r="A16" s="11" t="inlineStr">
        <is>
          <t>3</t>
        </is>
      </c>
      <c r="B16" s="11" t="inlineStr">
        <is>
          <t>普通/W 分界</t>
        </is>
      </c>
      <c r="C16" s="11" t="inlineStr">
        <is>
          <t>维持参考插片上限 120</t>
        </is>
      </c>
      <c r="D16" s="11" t="inlineStr">
        <is>
          <t>±5 区间已有 18 条、330.6 万销量，且两侧车型几何形态差异明显。</t>
        </is>
      </c>
    </row>
    <row r="17" ht="34" customHeight="1">
      <c r="A17" s="12" t="inlineStr">
        <is>
          <t>4</t>
        </is>
      </c>
      <c r="B17" s="12" t="inlineStr">
        <is>
          <t>其余长上限</t>
        </is>
      </c>
      <c r="C17" s="12" t="inlineStr">
        <is>
          <t>保持现状，使用手动清单逐车型处理</t>
        </is>
      </c>
      <c r="D17" s="12" t="inlineStr">
        <is>
          <t>多数候选会移动几十条记录，或把长车分到更小尺码，需实物验证。</t>
        </is>
      </c>
    </row>
  </sheetData>
  <mergeCells count="20">
    <mergeCell ref="D15:J15"/>
    <mergeCell ref="G8:H8"/>
    <mergeCell ref="E8:F8"/>
    <mergeCell ref="D14:J14"/>
    <mergeCell ref="A9:B10"/>
    <mergeCell ref="G9:H10"/>
    <mergeCell ref="B6:J6"/>
    <mergeCell ref="I9:J10"/>
    <mergeCell ref="A1:J1"/>
    <mergeCell ref="B5:J5"/>
    <mergeCell ref="B4:J4"/>
    <mergeCell ref="I8:J8"/>
    <mergeCell ref="D13:J13"/>
    <mergeCell ref="A8:B8"/>
    <mergeCell ref="C8:D8"/>
    <mergeCell ref="D17:J17"/>
    <mergeCell ref="D16:J16"/>
    <mergeCell ref="A2:J2"/>
    <mergeCell ref="C9:D10"/>
    <mergeCell ref="E9:F10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0.4" customWidth="1" min="4" max="4"/>
    <col width="10.4" customWidth="1" min="5" max="5"/>
    <col width="10" customWidth="1" min="6" max="6"/>
    <col width="11.6" customWidth="1" min="7" max="7"/>
    <col width="11.6" customWidth="1" min="8" max="8"/>
    <col width="11.6" customWidth="1" min="9" max="9"/>
    <col width="16.4" customWidth="1" min="10" max="10"/>
    <col width="10" customWidth="1" min="11" max="11"/>
    <col width="12.5" customWidth="1" min="12" max="12"/>
    <col width="14.8" customWidth="1" min="13" max="13"/>
    <col width="14.8" customWidth="1" min="14" max="14"/>
    <col width="13.2" customWidth="1" min="15" max="15"/>
    <col width="16.4" customWidth="1" min="16" max="16"/>
    <col width="16.4" customWidth="1" min="17" max="17"/>
    <col width="42" customWidth="1" min="18" max="18"/>
    <col width="52" customWidth="1" min="19" max="19"/>
  </cols>
  <sheetData>
    <row r="1" ht="32" customHeight="1">
      <c r="A1" s="1" t="inlineStr">
        <is>
          <t>各尺码长上限：最佳模拟与保守落地建议</t>
        </is>
      </c>
    </row>
    <row r="2" ht="28" customHeight="1">
      <c r="A2" s="2" t="inlineStr">
        <is>
          <t>模拟范围：乘用车 ±100 mm、皮卡 ±150 mm；销量改善衡量高销量家族的主组覆盖增加，非目标连带销量用于抑制过度换档。</t>
        </is>
      </c>
    </row>
    <row r="3"/>
    <row r="4" ht="32" customHeight="1">
      <c r="A4" s="13" t="inlineStr">
        <is>
          <t>源尺码行</t>
        </is>
      </c>
      <c r="B4" s="13" t="inlineStr">
        <is>
          <t>分类</t>
        </is>
      </c>
      <c r="C4" s="13" t="inlineStr">
        <is>
          <t>通道</t>
        </is>
      </c>
      <c r="D4" s="13" t="inlineStr">
        <is>
          <t>逻辑尺码</t>
        </is>
      </c>
      <c r="E4" s="13" t="inlineStr">
        <is>
          <t>内部尺码</t>
        </is>
      </c>
      <c r="F4" s="13" t="inlineStr">
        <is>
          <t>现行长上限</t>
        </is>
      </c>
      <c r="G4" s="13" t="inlineStr">
        <is>
          <t>模拟候选上限</t>
        </is>
      </c>
      <c r="H4" s="13" t="inlineStr">
        <is>
          <t>模拟Δ-mm</t>
        </is>
      </c>
      <c r="I4" s="13" t="inlineStr">
        <is>
          <t>建议落地上限</t>
        </is>
      </c>
      <c r="J4" s="13" t="inlineStr">
        <is>
          <t>决策</t>
        </is>
      </c>
      <c r="K4" s="13" t="inlineStr">
        <is>
          <t>换档记录数</t>
        </is>
      </c>
      <c r="L4" s="13" t="inlineStr">
        <is>
          <t>换档销量</t>
        </is>
      </c>
      <c r="M4" s="13" t="inlineStr">
        <is>
          <t>跨代归组改善销量</t>
        </is>
      </c>
      <c r="N4" s="13" t="inlineStr">
        <is>
          <t>跨代纯度下降销量</t>
        </is>
      </c>
      <c r="O4" s="13" t="inlineStr">
        <is>
          <t>非目标连带销量</t>
        </is>
      </c>
      <c r="P4" s="13" t="inlineStr">
        <is>
          <t>±25mm边界记录</t>
        </is>
      </c>
      <c r="Q4" s="13" t="inlineStr">
        <is>
          <t>±25mm边界销量</t>
        </is>
      </c>
      <c r="R4" s="13" t="inlineStr">
        <is>
          <t>改善车型</t>
        </is>
      </c>
      <c r="S4" s="13" t="inlineStr">
        <is>
          <t>结论说明</t>
        </is>
      </c>
    </row>
    <row r="5">
      <c r="A5" s="14" t="n">
        <v>30</v>
      </c>
      <c r="B5" s="14" t="inlineStr">
        <is>
          <t>皮卡</t>
        </is>
      </c>
      <c r="C5" s="14" t="inlineStr">
        <is>
          <t>普通</t>
        </is>
      </c>
      <c r="D5" s="14" t="inlineStr">
        <is>
          <t>PK-M</t>
        </is>
      </c>
      <c r="E5" s="14" t="inlineStr">
        <is>
          <t>PK-M</t>
        </is>
      </c>
      <c r="F5" s="15" t="n">
        <v>5304</v>
      </c>
      <c r="G5" s="15" t="n">
        <v>5181</v>
      </c>
      <c r="H5" s="16">
        <f>G5-F5</f>
        <v/>
      </c>
      <c r="I5" s="15" t="n">
        <v>5304</v>
      </c>
      <c r="J5" s="17" t="inlineStr">
        <is>
          <t>保持规则，车型手动</t>
        </is>
      </c>
      <c r="K5" s="18" t="n">
        <v>76</v>
      </c>
      <c r="L5" s="18" t="n">
        <v>15377620</v>
      </c>
      <c r="M5" s="18" t="n">
        <v>9106870</v>
      </c>
      <c r="N5" s="18" t="n">
        <v>178888</v>
      </c>
      <c r="O5" s="18" t="n">
        <v>6270750</v>
      </c>
      <c r="P5" s="18" t="n">
        <v>25</v>
      </c>
      <c r="Q5" s="18" t="n">
        <v>2726897</v>
      </c>
      <c r="R5" s="14" t="inlineStr">
        <is>
          <t>Chevrolet / C/K / Pickup (Regular/6.5); Chevrolet / C/K / Pickup (Regular/8); Chevrolet / Colorado / Pickup (Crew/5); Chevrolet / El Camino / Pickup (Regular/6.5); Chevrolet / Silverado 1500 / Pickup (Regular/6.6); Dodge / Dakota / Pickup (Regular/6.5); Dodge / Dakota / Pickup (Regular/8); Ford / F-100 / Pickup (Regular/6.5)</t>
        </is>
      </c>
      <c r="S5" s="19" t="inlineStr">
        <is>
          <t>模拟可改善部分跨代归组，但全局换档规模或向小一档的实物风险不适合直接落规则。</t>
        </is>
      </c>
    </row>
    <row r="6">
      <c r="A6" s="20" t="n">
        <v>25</v>
      </c>
      <c r="B6" s="20" t="inlineStr">
        <is>
          <t>越野车</t>
        </is>
      </c>
      <c r="C6" s="20" t="inlineStr">
        <is>
          <t>普通</t>
        </is>
      </c>
      <c r="D6" s="20" t="inlineStr">
        <is>
          <t>YL</t>
        </is>
      </c>
      <c r="E6" s="20" t="inlineStr">
        <is>
          <t>YL</t>
        </is>
      </c>
      <c r="F6" s="21" t="n">
        <v>4850</v>
      </c>
      <c r="G6" s="21" t="n">
        <v>4950</v>
      </c>
      <c r="H6" s="22">
        <f>G6-F6</f>
        <v/>
      </c>
      <c r="I6" s="21" t="n">
        <v>4850</v>
      </c>
      <c r="J6" s="17" t="inlineStr">
        <is>
          <t>保持规则，车型手动</t>
        </is>
      </c>
      <c r="K6" s="23" t="n">
        <v>84</v>
      </c>
      <c r="L6" s="23" t="n">
        <v>17050190</v>
      </c>
      <c r="M6" s="23" t="n">
        <v>7216456</v>
      </c>
      <c r="N6" s="23" t="n">
        <v>191072</v>
      </c>
      <c r="O6" s="23" t="n">
        <v>9833734</v>
      </c>
      <c r="P6" s="23" t="n">
        <v>31</v>
      </c>
      <c r="Q6" s="23" t="n">
        <v>3093274</v>
      </c>
      <c r="R6" s="20" t="inlineStr">
        <is>
          <t>Acura / MDX / SUV; BMW / X5 / SUV; Chevrolet / Blazer / SUV; Honda / Passport / SUV; Hyundai / Santa Fe / SUV; Jeep / Grand Cherokee / SUV; Land Rover / Range Rover Sport / SUV; Lexus / GX / SUV</t>
        </is>
      </c>
      <c r="S6" s="24" t="inlineStr">
        <is>
          <t>模拟可改善部分跨代归组，但全局换档规模或向小一档的实物风险不适合直接落规则。</t>
        </is>
      </c>
    </row>
    <row r="7">
      <c r="A7" s="14" t="n">
        <v>17</v>
      </c>
      <c r="B7" s="14" t="inlineStr">
        <is>
          <t>三厢车</t>
        </is>
      </c>
      <c r="C7" s="14" t="inlineStr">
        <is>
          <t>普通</t>
        </is>
      </c>
      <c r="D7" s="14" t="inlineStr">
        <is>
          <t>3M</t>
        </is>
      </c>
      <c r="E7" s="14" t="inlineStr">
        <is>
          <t>3M</t>
        </is>
      </c>
      <c r="F7" s="15" t="n">
        <v>4557</v>
      </c>
      <c r="G7" s="15" t="n">
        <v>4656</v>
      </c>
      <c r="H7" s="16">
        <f>G7-F7</f>
        <v/>
      </c>
      <c r="I7" s="15" t="n">
        <v>4557</v>
      </c>
      <c r="J7" s="17" t="inlineStr">
        <is>
          <t>保持规则，车型手动</t>
        </is>
      </c>
      <c r="K7" s="18" t="n">
        <v>77</v>
      </c>
      <c r="L7" s="18" t="n">
        <v>17778794</v>
      </c>
      <c r="M7" s="18" t="n">
        <v>6957103</v>
      </c>
      <c r="N7" s="18" t="n">
        <v>390268</v>
      </c>
      <c r="O7" s="18" t="n">
        <v>10821691</v>
      </c>
      <c r="P7" s="18" t="n">
        <v>37</v>
      </c>
      <c r="Q7" s="18" t="n">
        <v>9280792</v>
      </c>
      <c r="R7" s="14" t="inlineStr">
        <is>
          <t>BMW / 3 Series / Sedan; Chevrolet / Cavalier / Sedan; Honda / Civic / Sedan; Hyundai / Elantra / Sedan; Kia / Forte / Sedan; Mitsubishi / Lancer / Sedan; Nissan / Sentra / Sedan; Subaru / Impreza / Sedan</t>
        </is>
      </c>
      <c r="S7" s="19" t="inlineStr">
        <is>
          <t>模拟可改善部分跨代归组，但全局换档规模或向小一档的实物风险不适合直接落规则。</t>
        </is>
      </c>
    </row>
    <row r="8">
      <c r="A8" s="20" t="n">
        <v>18</v>
      </c>
      <c r="B8" s="20" t="inlineStr">
        <is>
          <t>三厢车</t>
        </is>
      </c>
      <c r="C8" s="20" t="inlineStr">
        <is>
          <t>普通</t>
        </is>
      </c>
      <c r="D8" s="20" t="inlineStr">
        <is>
          <t>3L</t>
        </is>
      </c>
      <c r="E8" s="20" t="inlineStr">
        <is>
          <t>3L</t>
        </is>
      </c>
      <c r="F8" s="21" t="n">
        <v>4736</v>
      </c>
      <c r="G8" s="21" t="n">
        <v>4693</v>
      </c>
      <c r="H8" s="22">
        <f>G8-F8</f>
        <v/>
      </c>
      <c r="I8" s="21" t="n">
        <v>4736</v>
      </c>
      <c r="J8" s="17" t="inlineStr">
        <is>
          <t>保持规则，车型手动</t>
        </is>
      </c>
      <c r="K8" s="23" t="n">
        <v>35</v>
      </c>
      <c r="L8" s="23" t="n">
        <v>7748976</v>
      </c>
      <c r="M8" s="23" t="n">
        <v>4153403</v>
      </c>
      <c r="N8" s="23" t="n">
        <v>416076</v>
      </c>
      <c r="O8" s="23" t="n">
        <v>3595573</v>
      </c>
      <c r="P8" s="23" t="n">
        <v>37</v>
      </c>
      <c r="Q8" s="23" t="n">
        <v>6370854</v>
      </c>
      <c r="R8" s="20" t="inlineStr">
        <is>
          <t>Audi / A4/S4 / Sedan; BMW / 5 Series / Sedan; Dodge / Stratus / Sedan; Honda / Accord / Sedan; Hyundai / Sonata / Sedan; Nissan / Altima / Sedan; Pontiac / Grand Am / Sedan; Subaru / Legacy / Sedan</t>
        </is>
      </c>
      <c r="S8" s="24" t="inlineStr">
        <is>
          <t>Accord 可通过手动归组实现；全局下调会让大量 4694–4736 mm 车型统一换大一档，长度余量突增。</t>
        </is>
      </c>
    </row>
    <row r="9">
      <c r="A9" s="14" t="n">
        <v>19</v>
      </c>
      <c r="B9" s="14" t="inlineStr">
        <is>
          <t>三厢车</t>
        </is>
      </c>
      <c r="C9" s="14" t="inlineStr">
        <is>
          <t>普通</t>
        </is>
      </c>
      <c r="D9" s="14" t="inlineStr">
        <is>
          <t>3XL</t>
        </is>
      </c>
      <c r="E9" s="14" t="inlineStr">
        <is>
          <t>3XL</t>
        </is>
      </c>
      <c r="F9" s="15" t="n">
        <v>5043</v>
      </c>
      <c r="G9" s="15" t="n">
        <v>5103</v>
      </c>
      <c r="H9" s="16">
        <f>G9-F9</f>
        <v/>
      </c>
      <c r="I9" s="15" t="n">
        <v>5043</v>
      </c>
      <c r="J9" s="17" t="inlineStr">
        <is>
          <t>保持规则，车型手动</t>
        </is>
      </c>
      <c r="K9" s="18" t="n">
        <v>36</v>
      </c>
      <c r="L9" s="18" t="n">
        <v>3911790</v>
      </c>
      <c r="M9" s="18" t="n">
        <v>2635689</v>
      </c>
      <c r="N9" s="18" t="n">
        <v>16667</v>
      </c>
      <c r="O9" s="18" t="n">
        <v>1276101</v>
      </c>
      <c r="P9" s="18" t="n">
        <v>21</v>
      </c>
      <c r="Q9" s="18" t="n">
        <v>3123026</v>
      </c>
      <c r="R9" s="14" t="inlineStr">
        <is>
          <t>BMW / 5 Series / Sedan; Chevrolet / Lumina / Sedan; Chrysler / 300 series / Sedan; Chrysler / 300 / Sedan; Dodge / Charger / Sedan; Lexus / LS / Sedan; Mercury / Sable / Sedan</t>
        </is>
      </c>
      <c r="S9" s="19" t="inlineStr">
        <is>
          <t>模拟可改善部分跨代归组，但全局换档规模或向小一档的实物风险不适合直接落规则。</t>
        </is>
      </c>
    </row>
    <row r="10">
      <c r="A10" s="20" t="n">
        <v>10</v>
      </c>
      <c r="B10" s="20" t="inlineStr">
        <is>
          <t>跑车</t>
        </is>
      </c>
      <c r="C10" s="20" t="inlineStr">
        <is>
          <t>普通</t>
        </is>
      </c>
      <c r="D10" s="20" t="inlineStr">
        <is>
          <t>3L</t>
        </is>
      </c>
      <c r="E10" s="20" t="inlineStr">
        <is>
          <t>3L-0</t>
        </is>
      </c>
      <c r="F10" s="21" t="n">
        <v>4736</v>
      </c>
      <c r="G10" s="21" t="n">
        <v>4693</v>
      </c>
      <c r="H10" s="22">
        <f>G10-F10</f>
        <v/>
      </c>
      <c r="I10" s="21" t="n">
        <v>4736</v>
      </c>
      <c r="J10" s="17" t="inlineStr">
        <is>
          <t>保持规则，车型手动</t>
        </is>
      </c>
      <c r="K10" s="23" t="n">
        <v>34</v>
      </c>
      <c r="L10" s="23" t="n">
        <v>3596279</v>
      </c>
      <c r="M10" s="23" t="n">
        <v>2007928</v>
      </c>
      <c r="N10" s="23" t="n">
        <v>0</v>
      </c>
      <c r="O10" s="23" t="n">
        <v>1588351</v>
      </c>
      <c r="P10" s="23" t="n">
        <v>41</v>
      </c>
      <c r="Q10" s="23" t="n">
        <v>2612618</v>
      </c>
      <c r="R10" s="20" t="inlineStr">
        <is>
          <t>Chevrolet / Camaro / Convertible; Chevrolet / Camaro / Coupe; Honda / Accord / Coupe; Pontiac / Grand Am / Coupe</t>
        </is>
      </c>
      <c r="S10" s="24" t="inlineStr">
        <is>
          <t>Accord 可通过手动归组实现；全局下调会让大量 4694–4736 mm 车型统一换大一档，长度余量突增。</t>
        </is>
      </c>
    </row>
    <row r="11">
      <c r="A11" s="14" t="n">
        <v>6</v>
      </c>
      <c r="B11" s="14" t="inlineStr">
        <is>
          <t>两厢车</t>
        </is>
      </c>
      <c r="C11" s="14" t="inlineStr">
        <is>
          <t>普通</t>
        </is>
      </c>
      <c r="D11" s="14" t="inlineStr">
        <is>
          <t>2XL+</t>
        </is>
      </c>
      <c r="E11" s="14" t="inlineStr">
        <is>
          <t>2XL+</t>
        </is>
      </c>
      <c r="F11" s="15" t="n">
        <v>5120</v>
      </c>
      <c r="G11" s="15" t="n">
        <v>5212</v>
      </c>
      <c r="H11" s="16">
        <f>G11-F11</f>
        <v/>
      </c>
      <c r="I11" s="15" t="n">
        <v>5120</v>
      </c>
      <c r="J11" s="17" t="inlineStr">
        <is>
          <t>保持规则，车型手动</t>
        </is>
      </c>
      <c r="K11" s="18" t="n">
        <v>24</v>
      </c>
      <c r="L11" s="18" t="n">
        <v>7439394</v>
      </c>
      <c r="M11" s="18" t="n">
        <v>2687234</v>
      </c>
      <c r="N11" s="18" t="n">
        <v>71250</v>
      </c>
      <c r="O11" s="18" t="n">
        <v>4752160</v>
      </c>
      <c r="P11" s="18" t="n">
        <v>7</v>
      </c>
      <c r="Q11" s="18" t="n">
        <v>1738745</v>
      </c>
      <c r="R11" s="14" t="inlineStr">
        <is>
          <t>Chrysler / Town &amp; Country / MPV; Honda / Odyssey / MPV; Kia / Carnival / MPV; Pontiac / LeMans / Wagon; Toyota / Sienna / MPV</t>
        </is>
      </c>
      <c r="S11" s="19" t="inlineStr">
        <is>
          <t>模拟可改善部分跨代归组，但全局换档规模或向小一档的实物风险不适合直接落规则。</t>
        </is>
      </c>
    </row>
    <row r="12">
      <c r="A12" s="20" t="n">
        <v>35</v>
      </c>
      <c r="B12" s="20" t="inlineStr">
        <is>
          <t>皮卡</t>
        </is>
      </c>
      <c r="C12" s="20" t="inlineStr">
        <is>
          <t>普通</t>
        </is>
      </c>
      <c r="D12" s="20" t="inlineStr">
        <is>
          <t>PK-XXL</t>
        </is>
      </c>
      <c r="E12" s="20" t="inlineStr">
        <is>
          <t>PK-XXL</t>
        </is>
      </c>
      <c r="F12" s="21" t="n">
        <v>6451</v>
      </c>
      <c r="G12" s="21" t="n">
        <v>6462</v>
      </c>
      <c r="H12" s="22">
        <f>G12-F12</f>
        <v/>
      </c>
      <c r="I12" s="21" t="n">
        <v>6462</v>
      </c>
      <c r="J12" s="25" t="inlineStr">
        <is>
          <t>建议小范围试行</t>
        </is>
      </c>
      <c r="K12" s="23" t="n">
        <v>2</v>
      </c>
      <c r="L12" s="23" t="n">
        <v>1503040</v>
      </c>
      <c r="M12" s="23" t="n">
        <v>1503040</v>
      </c>
      <c r="N12" s="23" t="n">
        <v>0</v>
      </c>
      <c r="O12" s="23" t="n">
        <v>0</v>
      </c>
      <c r="P12" s="23" t="n">
        <v>2</v>
      </c>
      <c r="Q12" s="23" t="n">
        <v>1503040</v>
      </c>
      <c r="R12" s="20" t="inlineStr">
        <is>
          <t>Ford / F-250/F-350 Super Duty / Pickup (SuperCab/8)</t>
        </is>
      </c>
      <c r="S12" s="24" t="inlineStr">
        <is>
          <t>仅 2 条 F-250/F-350 Super Duty 高销量记录换入 PK-XXL，无非目标连带换档；向小一档，须先做样车覆盖验证。</t>
        </is>
      </c>
    </row>
    <row r="13">
      <c r="A13" s="14" t="n">
        <v>3</v>
      </c>
      <c r="B13" s="14" t="inlineStr">
        <is>
          <t>两厢车</t>
        </is>
      </c>
      <c r="C13" s="14" t="inlineStr">
        <is>
          <t>普通</t>
        </is>
      </c>
      <c r="D13" s="14" t="inlineStr">
        <is>
          <t>2M</t>
        </is>
      </c>
      <c r="E13" s="14" t="inlineStr">
        <is>
          <t>2M</t>
        </is>
      </c>
      <c r="F13" s="15" t="n">
        <v>4173</v>
      </c>
      <c r="G13" s="15" t="n">
        <v>4119</v>
      </c>
      <c r="H13" s="16">
        <f>G13-F13</f>
        <v/>
      </c>
      <c r="I13" s="15" t="n">
        <v>4173</v>
      </c>
      <c r="J13" s="17" t="inlineStr">
        <is>
          <t>保持规则，车型手动</t>
        </is>
      </c>
      <c r="K13" s="18" t="n">
        <v>17</v>
      </c>
      <c r="L13" s="18" t="n">
        <v>3460857</v>
      </c>
      <c r="M13" s="18" t="n">
        <v>1715334</v>
      </c>
      <c r="N13" s="18" t="n">
        <v>0</v>
      </c>
      <c r="O13" s="18" t="n">
        <v>1745523</v>
      </c>
      <c r="P13" s="18" t="n">
        <v>16</v>
      </c>
      <c r="Q13" s="18" t="n">
        <v>2663154</v>
      </c>
      <c r="R13" s="14" t="inlineStr">
        <is>
          <t>Honda / Accord / Hatchback; Honda / Civic / Hatchback; Kia / Soul / Wagon; MINI / Cooper / Hatchback; MINI / Hardtop / Hatchback; MINI / Hatchback / Hatchback; Nissan / Versa / Hatchback</t>
        </is>
      </c>
      <c r="S13" s="19" t="inlineStr">
        <is>
          <t>模拟可改善部分跨代归组，但全局换档规模或向小一档的实物风险不适合直接落规则。</t>
        </is>
      </c>
    </row>
    <row r="14">
      <c r="A14" s="20" t="n">
        <v>32</v>
      </c>
      <c r="B14" s="20" t="inlineStr">
        <is>
          <t>皮卡</t>
        </is>
      </c>
      <c r="C14" s="20" t="inlineStr">
        <is>
          <t>普通</t>
        </is>
      </c>
      <c r="D14" s="20" t="inlineStr">
        <is>
          <t>PK-L</t>
        </is>
      </c>
      <c r="E14" s="20" t="inlineStr">
        <is>
          <t>PK-L</t>
        </is>
      </c>
      <c r="F14" s="21" t="n">
        <v>5896</v>
      </c>
      <c r="G14" s="21" t="n">
        <v>5916</v>
      </c>
      <c r="H14" s="22">
        <f>G14-F14</f>
        <v/>
      </c>
      <c r="I14" s="21" t="n">
        <v>5896</v>
      </c>
      <c r="J14" s="26" t="inlineStr">
        <is>
          <t>样车验证后可选</t>
        </is>
      </c>
      <c r="K14" s="23" t="n">
        <v>8</v>
      </c>
      <c r="L14" s="23" t="n">
        <v>4510536</v>
      </c>
      <c r="M14" s="23" t="n">
        <v>1851111</v>
      </c>
      <c r="N14" s="23" t="n">
        <v>0</v>
      </c>
      <c r="O14" s="23" t="n">
        <v>2659425</v>
      </c>
      <c r="P14" s="23" t="n">
        <v>20</v>
      </c>
      <c r="Q14" s="23" t="n">
        <v>7116620</v>
      </c>
      <c r="R14" s="20" t="inlineStr">
        <is>
          <t>Ford / F-150 / Pickup (Raptor/SuperCrew/5.5); Ford / F-250/F-350 Super Duty / Pickup (SuperCab/6.8); GMC / Sierra 1500 / Pickup (Crew/5.8); Ram / 1500 / Pickup (Crew/5.6)</t>
        </is>
      </c>
      <c r="S14" s="24" t="inlineStr">
        <is>
          <t>+20 mm 会让 8 条、451 万销量记录从 PK-XL 换到 PK-L；收益存在，但连带销量高，暂不直接改规则。</t>
        </is>
      </c>
    </row>
    <row r="15">
      <c r="A15" s="14" t="n">
        <v>9</v>
      </c>
      <c r="B15" s="14" t="inlineStr">
        <is>
          <t>跑车</t>
        </is>
      </c>
      <c r="C15" s="14" t="inlineStr">
        <is>
          <t>普通</t>
        </is>
      </c>
      <c r="D15" s="14" t="inlineStr">
        <is>
          <t>3M</t>
        </is>
      </c>
      <c r="E15" s="14" t="inlineStr">
        <is>
          <t>3M-0</t>
        </is>
      </c>
      <c r="F15" s="15" t="n">
        <v>4557</v>
      </c>
      <c r="G15" s="15" t="n">
        <v>4530</v>
      </c>
      <c r="H15" s="16">
        <f>G15-F15</f>
        <v/>
      </c>
      <c r="I15" s="15" t="n">
        <v>4557</v>
      </c>
      <c r="J15" s="17" t="inlineStr">
        <is>
          <t>保持规则，车型手动</t>
        </is>
      </c>
      <c r="K15" s="18" t="n">
        <v>19</v>
      </c>
      <c r="L15" s="18" t="n">
        <v>1740087</v>
      </c>
      <c r="M15" s="18" t="n">
        <v>1272843</v>
      </c>
      <c r="N15" s="18" t="n">
        <v>38424</v>
      </c>
      <c r="O15" s="18" t="n">
        <v>467244</v>
      </c>
      <c r="P15" s="18" t="n">
        <v>44</v>
      </c>
      <c r="Q15" s="18" t="n">
        <v>3162595</v>
      </c>
      <c r="R15" s="14" t="inlineStr">
        <is>
          <t>Chevrolet / Cavalier / Coupe; Chevrolet / Corvette / Convertible; Ford / Mustang / Coupe</t>
        </is>
      </c>
      <c r="S15" s="19" t="inlineStr">
        <is>
          <t>模拟可改善部分跨代归组，但全局换档规模或向小一档的实物风险不适合直接落规则。</t>
        </is>
      </c>
    </row>
    <row r="16">
      <c r="A16" s="20" t="n">
        <v>16</v>
      </c>
      <c r="B16" s="20" t="inlineStr">
        <is>
          <t>三厢车</t>
        </is>
      </c>
      <c r="C16" s="20" t="inlineStr">
        <is>
          <t>普通</t>
        </is>
      </c>
      <c r="D16" s="20" t="inlineStr">
        <is>
          <t>3S</t>
        </is>
      </c>
      <c r="E16" s="20" t="inlineStr">
        <is>
          <t>3S</t>
        </is>
      </c>
      <c r="F16" s="21" t="n">
        <v>4224</v>
      </c>
      <c r="G16" s="21" t="n">
        <v>4165</v>
      </c>
      <c r="H16" s="22">
        <f>G16-F16</f>
        <v/>
      </c>
      <c r="I16" s="21" t="n">
        <v>4224</v>
      </c>
      <c r="J16" s="17" t="inlineStr">
        <is>
          <t>保持规则，车型手动</t>
        </is>
      </c>
      <c r="K16" s="23" t="n">
        <v>10</v>
      </c>
      <c r="L16" s="23" t="n">
        <v>1537544</v>
      </c>
      <c r="M16" s="23" t="n">
        <v>1130162</v>
      </c>
      <c r="N16" s="23" t="n">
        <v>0</v>
      </c>
      <c r="O16" s="23" t="n">
        <v>407382</v>
      </c>
      <c r="P16" s="23" t="n">
        <v>3</v>
      </c>
      <c r="Q16" s="23" t="n">
        <v>504192</v>
      </c>
      <c r="R16" s="20" t="inlineStr">
        <is>
          <t>Honda / Civic / Sedan; Toyota / Corolla / Sedan; Volkswagen / Jetta / Sedan</t>
        </is>
      </c>
      <c r="S16" s="24" t="inlineStr">
        <is>
          <t>模拟可改善部分跨代归组，但全局换档规模或向小一档的实物风险不适合直接落规则。</t>
        </is>
      </c>
    </row>
    <row r="17">
      <c r="A17" s="14" t="n">
        <v>27</v>
      </c>
      <c r="B17" s="14" t="inlineStr">
        <is>
          <t>越野车</t>
        </is>
      </c>
      <c r="C17" s="14" t="inlineStr">
        <is>
          <t>普通</t>
        </is>
      </c>
      <c r="D17" s="14" t="inlineStr">
        <is>
          <t>YXXL</t>
        </is>
      </c>
      <c r="E17" s="14" t="inlineStr">
        <is>
          <t>YXXL</t>
        </is>
      </c>
      <c r="F17" s="15" t="n">
        <v>5248</v>
      </c>
      <c r="G17" s="15" t="n">
        <v>5337</v>
      </c>
      <c r="H17" s="16">
        <f>G17-F17</f>
        <v/>
      </c>
      <c r="I17" s="15" t="n">
        <v>5248</v>
      </c>
      <c r="J17" s="17" t="inlineStr">
        <is>
          <t>保持规则，车型手动</t>
        </is>
      </c>
      <c r="K17" s="18" t="n">
        <v>19</v>
      </c>
      <c r="L17" s="18" t="n">
        <v>2002665</v>
      </c>
      <c r="M17" s="18" t="n">
        <v>1177382</v>
      </c>
      <c r="N17" s="18" t="n">
        <v>0</v>
      </c>
      <c r="O17" s="18" t="n">
        <v>825283</v>
      </c>
      <c r="P17" s="18" t="n">
        <v>7</v>
      </c>
      <c r="Q17" s="18" t="n">
        <v>1380774</v>
      </c>
      <c r="R17" s="14" t="inlineStr">
        <is>
          <t>Buick / Enclave / SUV; Ford / Expedition / SUV; GMC / Yukon / SUV; Lincoln / Navigator / SUV; Toyota / Sequoia / SUV</t>
        </is>
      </c>
      <c r="S17" s="19" t="inlineStr">
        <is>
          <t>模拟可改善部分跨代归组，但全局换档规模或向小一档的实物风险不适合直接落规则。</t>
        </is>
      </c>
    </row>
    <row r="18">
      <c r="A18" s="20" t="n">
        <v>11</v>
      </c>
      <c r="B18" s="20" t="inlineStr">
        <is>
          <t>跑车</t>
        </is>
      </c>
      <c r="C18" s="20" t="inlineStr">
        <is>
          <t>普通</t>
        </is>
      </c>
      <c r="D18" s="20" t="inlineStr">
        <is>
          <t>3XL</t>
        </is>
      </c>
      <c r="E18" s="20" t="inlineStr">
        <is>
          <t>3XL-0</t>
        </is>
      </c>
      <c r="F18" s="21" t="n">
        <v>5043</v>
      </c>
      <c r="G18" s="21" t="n">
        <v>5100</v>
      </c>
      <c r="H18" s="22">
        <f>G18-F18</f>
        <v/>
      </c>
      <c r="I18" s="21" t="n">
        <v>5043</v>
      </c>
      <c r="J18" s="17" t="inlineStr">
        <is>
          <t>保持规则，车型手动</t>
        </is>
      </c>
      <c r="K18" s="23" t="n">
        <v>12</v>
      </c>
      <c r="L18" s="23" t="n">
        <v>2303705</v>
      </c>
      <c r="M18" s="23" t="n">
        <v>1060593</v>
      </c>
      <c r="N18" s="23" t="n">
        <v>0</v>
      </c>
      <c r="O18" s="23" t="n">
        <v>1243112</v>
      </c>
      <c r="P18" s="23" t="n">
        <v>7</v>
      </c>
      <c r="Q18" s="23" t="n">
        <v>1748647</v>
      </c>
      <c r="R18" s="20" t="inlineStr">
        <is>
          <t>Chevrolet / Monte Carlo / Coupe; Ford / Thunderbird / Coupe; Mercury / Cougar / Coupe</t>
        </is>
      </c>
      <c r="S18" s="24" t="inlineStr">
        <is>
          <t>模拟可改善部分跨代归组，但全局换档规模或向小一档的实物风险不适合直接落规则。</t>
        </is>
      </c>
    </row>
    <row r="19">
      <c r="A19" s="14" t="n">
        <v>31</v>
      </c>
      <c r="B19" s="14" t="inlineStr">
        <is>
          <t>皮卡</t>
        </is>
      </c>
      <c r="C19" s="14" t="inlineStr">
        <is>
          <t>普通</t>
        </is>
      </c>
      <c r="D19" s="14" t="inlineStr">
        <is>
          <t>PK-M+</t>
        </is>
      </c>
      <c r="E19" s="14" t="inlineStr">
        <is>
          <t>PK-M+</t>
        </is>
      </c>
      <c r="F19" s="15" t="n">
        <v>5632</v>
      </c>
      <c r="G19" s="15" t="n">
        <v>5564</v>
      </c>
      <c r="H19" s="16">
        <f>G19-F19</f>
        <v/>
      </c>
      <c r="I19" s="15" t="n">
        <v>5632</v>
      </c>
      <c r="J19" s="17" t="inlineStr">
        <is>
          <t>保持规则，车型手动</t>
        </is>
      </c>
      <c r="K19" s="18" t="n">
        <v>9</v>
      </c>
      <c r="L19" s="18" t="n">
        <v>2559088</v>
      </c>
      <c r="M19" s="18" t="n">
        <v>991891</v>
      </c>
      <c r="N19" s="18" t="n">
        <v>0</v>
      </c>
      <c r="O19" s="18" t="n">
        <v>1567197</v>
      </c>
      <c r="P19" s="18" t="n">
        <v>7</v>
      </c>
      <c r="Q19" s="18" t="n">
        <v>2046867</v>
      </c>
      <c r="R19" s="14" t="inlineStr">
        <is>
          <t>Ford / F-150 / Pickup (SuperCab/6.5); Nissan / Frontier / Pickup (Crew/6); Toyota / Tacoma / Pickup (Double/6)</t>
        </is>
      </c>
      <c r="S19" s="19" t="inlineStr">
        <is>
          <t>模拟可改善部分跨代归组，但全局换档规模或向小一档的实物风险不适合直接落规则。</t>
        </is>
      </c>
    </row>
    <row r="20">
      <c r="A20" s="20" t="n">
        <v>8</v>
      </c>
      <c r="B20" s="20" t="inlineStr">
        <is>
          <t>跑车</t>
        </is>
      </c>
      <c r="C20" s="20" t="inlineStr">
        <is>
          <t>普通</t>
        </is>
      </c>
      <c r="D20" s="20" t="inlineStr">
        <is>
          <t>3S</t>
        </is>
      </c>
      <c r="E20" s="20" t="inlineStr">
        <is>
          <t>3S-0</t>
        </is>
      </c>
      <c r="F20" s="21" t="n">
        <v>4224</v>
      </c>
      <c r="G20" s="21" t="n">
        <v>4223</v>
      </c>
      <c r="H20" s="22">
        <f>G20-F20</f>
        <v/>
      </c>
      <c r="I20" s="21" t="n">
        <v>4224</v>
      </c>
      <c r="J20" s="17" t="inlineStr">
        <is>
          <t>保持规则，车型手动</t>
        </is>
      </c>
      <c r="K20" s="23" t="n">
        <v>2</v>
      </c>
      <c r="L20" s="23" t="n">
        <v>345722</v>
      </c>
      <c r="M20" s="23" t="n">
        <v>345722</v>
      </c>
      <c r="N20" s="23" t="n">
        <v>0</v>
      </c>
      <c r="O20" s="23" t="n">
        <v>0</v>
      </c>
      <c r="P20" s="23" t="n">
        <v>16</v>
      </c>
      <c r="Q20" s="23" t="n">
        <v>823225</v>
      </c>
      <c r="R20" s="20" t="inlineStr">
        <is>
          <t>Nissan / Sentra / Coupe; Toyota / Corolla / Coupe</t>
        </is>
      </c>
      <c r="S20" s="24" t="inlineStr">
        <is>
          <t>模拟可改善部分跨代归组，但全局换档规模或向小一档的实物风险不适合直接落规则。</t>
        </is>
      </c>
    </row>
    <row r="21">
      <c r="A21" s="14" t="n">
        <v>4</v>
      </c>
      <c r="B21" s="14" t="inlineStr">
        <is>
          <t>两厢车</t>
        </is>
      </c>
      <c r="C21" s="14" t="inlineStr">
        <is>
          <t>普通</t>
        </is>
      </c>
      <c r="D21" s="14" t="inlineStr">
        <is>
          <t>2L+</t>
        </is>
      </c>
      <c r="E21" s="14" t="inlineStr">
        <is>
          <t>2L+</t>
        </is>
      </c>
      <c r="F21" s="15" t="n">
        <v>4557</v>
      </c>
      <c r="G21" s="15" t="n">
        <v>4646</v>
      </c>
      <c r="H21" s="16">
        <f>G21-F21</f>
        <v/>
      </c>
      <c r="I21" s="15" t="n">
        <v>4557</v>
      </c>
      <c r="J21" s="17" t="inlineStr">
        <is>
          <t>保持规则，车型手动</t>
        </is>
      </c>
      <c r="K21" s="18" t="n">
        <v>29</v>
      </c>
      <c r="L21" s="18" t="n">
        <v>2666137</v>
      </c>
      <c r="M21" s="18" t="n">
        <v>1087026</v>
      </c>
      <c r="N21" s="18" t="n">
        <v>349038</v>
      </c>
      <c r="O21" s="18" t="n">
        <v>1579111</v>
      </c>
      <c r="P21" s="18" t="n">
        <v>13</v>
      </c>
      <c r="Q21" s="18" t="n">
        <v>1743986</v>
      </c>
      <c r="R21" s="14" t="inlineStr">
        <is>
          <t>BMW / 3 Series / Wagon; Ford / Mustang / Hatchback; Toyota / Prius / Hatchback</t>
        </is>
      </c>
      <c r="S21" s="19" t="inlineStr">
        <is>
          <t>模拟可改善部分跨代归组，但全局换档规模或向小一档的实物风险不适合直接落规则。</t>
        </is>
      </c>
    </row>
    <row r="22">
      <c r="A22" s="20" t="n">
        <v>24</v>
      </c>
      <c r="B22" s="20" t="inlineStr">
        <is>
          <t>越野车</t>
        </is>
      </c>
      <c r="C22" s="20" t="inlineStr">
        <is>
          <t>普通</t>
        </is>
      </c>
      <c r="D22" s="20" t="inlineStr">
        <is>
          <t>YM</t>
        </is>
      </c>
      <c r="E22" s="20" t="inlineStr">
        <is>
          <t>YM</t>
        </is>
      </c>
      <c r="F22" s="21" t="n">
        <v>4634</v>
      </c>
      <c r="G22" s="21" t="n">
        <v>4627</v>
      </c>
      <c r="H22" s="22">
        <f>G22-F22</f>
        <v/>
      </c>
      <c r="I22" s="21" t="n">
        <v>4634</v>
      </c>
      <c r="J22" s="17" t="inlineStr">
        <is>
          <t>保持规则，车型手动</t>
        </is>
      </c>
      <c r="K22" s="23" t="n">
        <v>9</v>
      </c>
      <c r="L22" s="23" t="n">
        <v>1483604</v>
      </c>
      <c r="M22" s="23" t="n">
        <v>900050</v>
      </c>
      <c r="N22" s="23" t="n">
        <v>409872</v>
      </c>
      <c r="O22" s="23" t="n">
        <v>583554</v>
      </c>
      <c r="P22" s="23" t="n">
        <v>42</v>
      </c>
      <c r="Q22" s="23" t="n">
        <v>17919809</v>
      </c>
      <c r="R22" s="20" t="inlineStr">
        <is>
          <t>GMC / Terrain / SUV; Lexus / NX / SUV; Volvo / XC60 / SUV</t>
        </is>
      </c>
      <c r="S22" s="24" t="inlineStr">
        <is>
          <t>模拟可改善部分跨代归组，但全局换档规模或向小一档的实物风险不适合直接落规则。</t>
        </is>
      </c>
    </row>
    <row r="23">
      <c r="A23" s="14" t="n">
        <v>20</v>
      </c>
      <c r="B23" s="14" t="inlineStr">
        <is>
          <t>三厢车</t>
        </is>
      </c>
      <c r="C23" s="14" t="inlineStr">
        <is>
          <t>普通</t>
        </is>
      </c>
      <c r="D23" s="14" t="inlineStr">
        <is>
          <t>3XL+</t>
        </is>
      </c>
      <c r="E23" s="14" t="inlineStr">
        <is>
          <t>3XL+</t>
        </is>
      </c>
      <c r="F23" s="15" t="n">
        <v>5197</v>
      </c>
      <c r="G23" s="15" t="n">
        <v>5268</v>
      </c>
      <c r="H23" s="16">
        <f>G23-F23</f>
        <v/>
      </c>
      <c r="I23" s="15" t="n">
        <v>5197</v>
      </c>
      <c r="J23" s="27" t="inlineStr">
        <is>
          <t>保持现状</t>
        </is>
      </c>
      <c r="K23" s="18" t="n">
        <v>28</v>
      </c>
      <c r="L23" s="18" t="n">
        <v>751858</v>
      </c>
      <c r="M23" s="18" t="n">
        <v>248262</v>
      </c>
      <c r="N23" s="18" t="n">
        <v>0</v>
      </c>
      <c r="O23" s="18" t="n">
        <v>503596</v>
      </c>
      <c r="P23" s="18" t="n">
        <v>23</v>
      </c>
      <c r="Q23" s="18" t="n">
        <v>733843</v>
      </c>
      <c r="R23" s="14" t="inlineStr">
        <is>
          <t>BMW / 7 Series / Sedan; Dodge / Charger / Sedan; Jaguar / XJ / Sedan; Mercedes-Benz / S-Class / Sedan</t>
        </is>
      </c>
      <c r="S23" s="19" t="inlineStr">
        <is>
          <t>微调收益不足，或没有实际车型发生换档。</t>
        </is>
      </c>
    </row>
    <row r="24">
      <c r="A24" s="20" t="n">
        <v>2</v>
      </c>
      <c r="B24" s="20" t="inlineStr">
        <is>
          <t>两厢车</t>
        </is>
      </c>
      <c r="C24" s="20" t="inlineStr">
        <is>
          <t>普通</t>
        </is>
      </c>
      <c r="D24" s="20" t="inlineStr">
        <is>
          <t>2S</t>
        </is>
      </c>
      <c r="E24" s="20" t="inlineStr">
        <is>
          <t>2S</t>
        </is>
      </c>
      <c r="F24" s="21" t="n">
        <v>3635</v>
      </c>
      <c r="G24" s="21" t="n">
        <v>3729</v>
      </c>
      <c r="H24" s="22">
        <f>G24-F24</f>
        <v/>
      </c>
      <c r="I24" s="21" t="n">
        <v>3635</v>
      </c>
      <c r="J24" s="17" t="inlineStr">
        <is>
          <t>保持规则，车型手动</t>
        </is>
      </c>
      <c r="K24" s="23" t="n">
        <v>17</v>
      </c>
      <c r="L24" s="23" t="n">
        <v>1251987</v>
      </c>
      <c r="M24" s="23" t="n">
        <v>323975</v>
      </c>
      <c r="N24" s="23" t="n">
        <v>18055</v>
      </c>
      <c r="O24" s="23" t="n">
        <v>928012</v>
      </c>
      <c r="P24" s="23" t="n">
        <v>8</v>
      </c>
      <c r="Q24" s="23" t="n">
        <v>578110</v>
      </c>
      <c r="R24" s="20" t="inlineStr">
        <is>
          <t>Chevrolet / Spark / Hatchback; MINI / Cooper / Hatchback; MINI / Hatchback / Hatchback</t>
        </is>
      </c>
      <c r="S24" s="24" t="inlineStr">
        <is>
          <t>模拟可改善部分跨代归组，但全局换档规模或向小一档的实物风险不适合直接落规则。</t>
        </is>
      </c>
    </row>
    <row r="25">
      <c r="A25" s="14" t="n">
        <v>5</v>
      </c>
      <c r="B25" s="14" t="inlineStr">
        <is>
          <t>两厢车</t>
        </is>
      </c>
      <c r="C25" s="14" t="inlineStr">
        <is>
          <t>普通</t>
        </is>
      </c>
      <c r="D25" s="14" t="inlineStr">
        <is>
          <t>2XL</t>
        </is>
      </c>
      <c r="E25" s="14" t="inlineStr">
        <is>
          <t>2XL</t>
        </is>
      </c>
      <c r="F25" s="15" t="n">
        <v>4864</v>
      </c>
      <c r="G25" s="15" t="n">
        <v>4869</v>
      </c>
      <c r="H25" s="16">
        <f>G25-F25</f>
        <v/>
      </c>
      <c r="I25" s="15" t="n">
        <v>4864</v>
      </c>
      <c r="J25" s="27" t="inlineStr">
        <is>
          <t>保持现状</t>
        </is>
      </c>
      <c r="K25" s="18" t="n">
        <v>2</v>
      </c>
      <c r="L25" s="18" t="n">
        <v>77503</v>
      </c>
      <c r="M25" s="18" t="n">
        <v>54675</v>
      </c>
      <c r="N25" s="18" t="n">
        <v>0</v>
      </c>
      <c r="O25" s="18" t="n">
        <v>22828</v>
      </c>
      <c r="P25" s="18" t="n">
        <v>16</v>
      </c>
      <c r="Q25" s="18" t="n">
        <v>4567856</v>
      </c>
      <c r="R25" s="14" t="inlineStr">
        <is>
          <t>Subaru / Outback / Hatchback</t>
        </is>
      </c>
      <c r="S25" s="19" t="inlineStr">
        <is>
          <t>微调收益不足，或没有实际车型发生换档。</t>
        </is>
      </c>
    </row>
    <row r="26">
      <c r="A26" s="20" t="n">
        <v>21</v>
      </c>
      <c r="B26" s="20" t="inlineStr">
        <is>
          <t>三厢车</t>
        </is>
      </c>
      <c r="C26" s="20" t="inlineStr">
        <is>
          <t>普通</t>
        </is>
      </c>
      <c r="D26" s="20" t="inlineStr">
        <is>
          <t>3XXL</t>
        </is>
      </c>
      <c r="E26" s="20" t="inlineStr">
        <is>
          <t>3XXL</t>
        </is>
      </c>
      <c r="F26" s="21" t="n">
        <v>5400</v>
      </c>
      <c r="G26" s="21" t="n">
        <v>5469</v>
      </c>
      <c r="H26" s="22">
        <f>G26-F26</f>
        <v/>
      </c>
      <c r="I26" s="21" t="n">
        <v>5400</v>
      </c>
      <c r="J26" s="27" t="inlineStr">
        <is>
          <t>保持现状</t>
        </is>
      </c>
      <c r="K26" s="23" t="n">
        <v>2</v>
      </c>
      <c r="L26" s="23" t="n">
        <v>47588</v>
      </c>
      <c r="M26" s="23" t="n">
        <v>47588</v>
      </c>
      <c r="N26" s="23" t="n">
        <v>0</v>
      </c>
      <c r="O26" s="23" t="n">
        <v>0</v>
      </c>
      <c r="P26" s="23" t="n">
        <v>3</v>
      </c>
      <c r="Q26" s="23" t="n">
        <v>177095</v>
      </c>
      <c r="R26" s="20" t="inlineStr">
        <is>
          <t>Mercedes-Benz / S-Class / Sedan</t>
        </is>
      </c>
      <c r="S26" s="24" t="inlineStr">
        <is>
          <t>微调收益不足，或没有实际车型发生换档。</t>
        </is>
      </c>
    </row>
    <row r="27">
      <c r="A27" s="14" t="n">
        <v>40</v>
      </c>
      <c r="B27" s="14" t="inlineStr">
        <is>
          <t>跑车</t>
        </is>
      </c>
      <c r="C27" s="14" t="inlineStr">
        <is>
          <t>W</t>
        </is>
      </c>
      <c r="D27" s="14" t="inlineStr">
        <is>
          <t>3WXXL</t>
        </is>
      </c>
      <c r="E27" s="14" t="inlineStr">
        <is>
          <t>3WXXL-0</t>
        </is>
      </c>
      <c r="F27" s="15" t="n">
        <v>5500</v>
      </c>
      <c r="G27" s="15" t="n">
        <v>5501</v>
      </c>
      <c r="H27" s="16">
        <f>G27-F27</f>
        <v/>
      </c>
      <c r="I27" s="15" t="n">
        <v>5500</v>
      </c>
      <c r="J27" s="27" t="inlineStr">
        <is>
          <t>保持现状</t>
        </is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41</v>
      </c>
      <c r="Q27" s="18" t="n">
        <v>3579292</v>
      </c>
      <c r="R27" s="14" t="inlineStr"/>
      <c r="S27" s="19" t="inlineStr">
        <is>
          <t>W 版长度边界未出现低连带、高收益的稳定微调点。</t>
        </is>
      </c>
    </row>
    <row r="28">
      <c r="A28" s="20" t="n">
        <v>14</v>
      </c>
      <c r="B28" s="20" t="inlineStr">
        <is>
          <t>跑车</t>
        </is>
      </c>
      <c r="C28" s="20" t="inlineStr">
        <is>
          <t>普通</t>
        </is>
      </c>
      <c r="D28" s="20" t="inlineStr">
        <is>
          <t>3XXXL</t>
        </is>
      </c>
      <c r="E28" s="20" t="inlineStr">
        <is>
          <t>3XXXL-0</t>
        </is>
      </c>
      <c r="F28" s="21" t="n">
        <v>5581</v>
      </c>
      <c r="G28" s="21" t="n">
        <v>5578</v>
      </c>
      <c r="H28" s="22">
        <f>G28-F28</f>
        <v/>
      </c>
      <c r="I28" s="21" t="n">
        <v>5581</v>
      </c>
      <c r="J28" s="27" t="inlineStr">
        <is>
          <t>保持现状</t>
        </is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2</v>
      </c>
      <c r="Q28" s="23" t="n">
        <v>1875</v>
      </c>
      <c r="R28" s="20" t="inlineStr"/>
      <c r="S28" s="24" t="inlineStr">
        <is>
          <t>微调收益不足，或没有实际车型发生换档。</t>
        </is>
      </c>
    </row>
    <row r="29">
      <c r="A29" s="14" t="n">
        <v>42</v>
      </c>
      <c r="B29" s="14" t="inlineStr">
        <is>
          <t>三厢车</t>
        </is>
      </c>
      <c r="C29" s="14" t="inlineStr">
        <is>
          <t>W</t>
        </is>
      </c>
      <c r="D29" s="14" t="inlineStr">
        <is>
          <t>3WX</t>
        </is>
      </c>
      <c r="E29" s="14" t="inlineStr">
        <is>
          <t>3WXL</t>
        </is>
      </c>
      <c r="F29" s="15" t="n">
        <v>5000</v>
      </c>
      <c r="G29" s="15" t="n">
        <v>4996</v>
      </c>
      <c r="H29" s="16">
        <f>G29-F29</f>
        <v/>
      </c>
      <c r="I29" s="15" t="n">
        <v>5000</v>
      </c>
      <c r="J29" s="27" t="inlineStr">
        <is>
          <t>保持现状</t>
        </is>
      </c>
      <c r="K29" s="18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18" t="n">
        <v>28</v>
      </c>
      <c r="Q29" s="18" t="n">
        <v>3548908</v>
      </c>
      <c r="R29" s="14" t="inlineStr"/>
      <c r="S29" s="19" t="inlineStr">
        <is>
          <t>W 版长度边界未出现低连带、高收益的稳定微调点。</t>
        </is>
      </c>
    </row>
    <row r="30">
      <c r="A30" s="20" t="n">
        <v>33</v>
      </c>
      <c r="B30" s="20" t="inlineStr">
        <is>
          <t>皮卡</t>
        </is>
      </c>
      <c r="C30" s="20" t="inlineStr">
        <is>
          <t>普通</t>
        </is>
      </c>
      <c r="D30" s="20" t="inlineStr">
        <is>
          <t>PK-XL</t>
        </is>
      </c>
      <c r="E30" s="20" t="inlineStr">
        <is>
          <t>PK-XL</t>
        </is>
      </c>
      <c r="F30" s="21" t="n">
        <v>6195</v>
      </c>
      <c r="G30" s="21" t="n">
        <v>6199</v>
      </c>
      <c r="H30" s="22">
        <f>G30-F30</f>
        <v/>
      </c>
      <c r="I30" s="21" t="n">
        <v>6195</v>
      </c>
      <c r="J30" s="27" t="inlineStr">
        <is>
          <t>保持现状</t>
        </is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7</v>
      </c>
      <c r="Q30" s="23" t="n">
        <v>3817860</v>
      </c>
      <c r="R30" s="20" t="inlineStr"/>
      <c r="S30" s="24" t="inlineStr">
        <is>
          <t>微调收益不足，或没有实际车型发生换档。</t>
        </is>
      </c>
    </row>
    <row r="31">
      <c r="A31" s="14" t="n">
        <v>26</v>
      </c>
      <c r="B31" s="14" t="inlineStr">
        <is>
          <t>越野车</t>
        </is>
      </c>
      <c r="C31" s="14" t="inlineStr">
        <is>
          <t>普通</t>
        </is>
      </c>
      <c r="D31" s="14" t="inlineStr">
        <is>
          <t>YXL</t>
        </is>
      </c>
      <c r="E31" s="14" t="inlineStr">
        <is>
          <t>YXL</t>
        </is>
      </c>
      <c r="F31" s="15" t="n">
        <v>5018</v>
      </c>
      <c r="G31" s="15" t="n">
        <v>5014</v>
      </c>
      <c r="H31" s="16">
        <f>G31-F31</f>
        <v/>
      </c>
      <c r="I31" s="15" t="n">
        <v>5018</v>
      </c>
      <c r="J31" s="27" t="inlineStr">
        <is>
          <t>保持现状</t>
        </is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40</v>
      </c>
      <c r="Q31" s="18" t="n">
        <v>5766408</v>
      </c>
      <c r="R31" s="14" t="inlineStr"/>
      <c r="S31" s="19" t="inlineStr">
        <is>
          <t>微调收益不足，或没有实际车型发生换档。</t>
        </is>
      </c>
    </row>
    <row r="32">
      <c r="A32" s="20" t="n">
        <v>39</v>
      </c>
      <c r="B32" s="20" t="inlineStr">
        <is>
          <t>跑车</t>
        </is>
      </c>
      <c r="C32" s="20" t="inlineStr">
        <is>
          <t>W</t>
        </is>
      </c>
      <c r="D32" s="20" t="inlineStr">
        <is>
          <t>3WX</t>
        </is>
      </c>
      <c r="E32" s="20" t="inlineStr">
        <is>
          <t>3WXL-0</t>
        </is>
      </c>
      <c r="F32" s="21" t="n">
        <v>5000</v>
      </c>
      <c r="G32" s="21" t="n">
        <v>4996</v>
      </c>
      <c r="H32" s="22">
        <f>G32-F32</f>
        <v/>
      </c>
      <c r="I32" s="21" t="n">
        <v>5000</v>
      </c>
      <c r="J32" s="27" t="inlineStr">
        <is>
          <t>保持现状</t>
        </is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24</v>
      </c>
      <c r="Q32" s="23" t="n">
        <v>4151110</v>
      </c>
      <c r="R32" s="20" t="inlineStr"/>
      <c r="S32" s="24" t="inlineStr">
        <is>
          <t>W 版长度边界未出现低连带、高收益的稳定微调点。</t>
        </is>
      </c>
    </row>
    <row r="33">
      <c r="A33" s="14" t="n">
        <v>43</v>
      </c>
      <c r="B33" s="14" t="inlineStr">
        <is>
          <t>三厢车</t>
        </is>
      </c>
      <c r="C33" s="14" t="inlineStr">
        <is>
          <t>W</t>
        </is>
      </c>
      <c r="D33" s="14" t="inlineStr">
        <is>
          <t>3WXXL</t>
        </is>
      </c>
      <c r="E33" s="14" t="inlineStr">
        <is>
          <t>3WXXL</t>
        </is>
      </c>
      <c r="F33" s="15" t="n">
        <v>5500</v>
      </c>
      <c r="G33" s="15" t="n">
        <v>5494</v>
      </c>
      <c r="H33" s="16">
        <f>G33-F33</f>
        <v/>
      </c>
      <c r="I33" s="15" t="n">
        <v>5500</v>
      </c>
      <c r="J33" s="27" t="inlineStr">
        <is>
          <t>保持现状</t>
        </is>
      </c>
      <c r="K33" s="18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18" t="n">
        <v>22</v>
      </c>
      <c r="Q33" s="18" t="n">
        <v>2119123</v>
      </c>
      <c r="R33" s="14" t="inlineStr"/>
      <c r="S33" s="19" t="inlineStr">
        <is>
          <t>W 版长度边界未出现低连带、高收益的稳定微调点。</t>
        </is>
      </c>
    </row>
    <row r="34">
      <c r="A34" s="20" t="n">
        <v>28</v>
      </c>
      <c r="B34" s="20" t="inlineStr">
        <is>
          <t>越野车</t>
        </is>
      </c>
      <c r="C34" s="20" t="inlineStr">
        <is>
          <t>普通</t>
        </is>
      </c>
      <c r="D34" s="20" t="inlineStr">
        <is>
          <t>YXXL-545</t>
        </is>
      </c>
      <c r="E34" s="20" t="inlineStr">
        <is>
          <t>YXXL-545</t>
        </is>
      </c>
      <c r="F34" s="21" t="n">
        <v>5478</v>
      </c>
      <c r="G34" s="21" t="n">
        <v>5461</v>
      </c>
      <c r="H34" s="22">
        <f>G34-F34</f>
        <v/>
      </c>
      <c r="I34" s="21" t="n">
        <v>5478</v>
      </c>
      <c r="J34" s="27" t="inlineStr">
        <is>
          <t>保持现状</t>
        </is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1</v>
      </c>
      <c r="Q34" s="23" t="n">
        <v>0</v>
      </c>
      <c r="R34" s="20" t="inlineStr"/>
      <c r="S34" s="24" t="inlineStr">
        <is>
          <t>微调收益不足，或没有实际车型发生换档。</t>
        </is>
      </c>
    </row>
    <row r="35">
      <c r="A35" s="14" t="n">
        <v>37</v>
      </c>
      <c r="B35" s="14" t="inlineStr">
        <is>
          <t>皮卡</t>
        </is>
      </c>
      <c r="C35" s="14" t="inlineStr">
        <is>
          <t>DRW</t>
        </is>
      </c>
      <c r="D35" s="14" t="inlineStr">
        <is>
          <t>PK-WX</t>
        </is>
      </c>
      <c r="E35" s="14" t="inlineStr">
        <is>
          <t>PK-WX</t>
        </is>
      </c>
      <c r="F35" s="15" t="n">
        <v>6000</v>
      </c>
      <c r="G35" s="15" t="n">
        <v>6029</v>
      </c>
      <c r="H35" s="16">
        <f>G35-F35</f>
        <v/>
      </c>
      <c r="I35" s="15" t="n">
        <v>6000</v>
      </c>
      <c r="J35" s="27" t="inlineStr">
        <is>
          <t>保持现状</t>
        </is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2</v>
      </c>
      <c r="Q35" s="18" t="n">
        <v>704389</v>
      </c>
      <c r="R35" s="14" t="inlineStr"/>
      <c r="S35" s="19" t="inlineStr">
        <is>
          <t>微调收益不足，或没有实际车型发生换档。</t>
        </is>
      </c>
    </row>
    <row r="36">
      <c r="A36" s="20" t="n">
        <v>12</v>
      </c>
      <c r="B36" s="20" t="inlineStr">
        <is>
          <t>跑车</t>
        </is>
      </c>
      <c r="C36" s="20" t="inlineStr">
        <is>
          <t>普通</t>
        </is>
      </c>
      <c r="D36" s="20" t="inlineStr">
        <is>
          <t>3XL+</t>
        </is>
      </c>
      <c r="E36" s="20" t="inlineStr">
        <is>
          <t>3XL+0</t>
        </is>
      </c>
      <c r="F36" s="21" t="n">
        <v>5197</v>
      </c>
      <c r="G36" s="21" t="n">
        <v>5239</v>
      </c>
      <c r="H36" s="22">
        <f>G36-F36</f>
        <v/>
      </c>
      <c r="I36" s="21" t="n">
        <v>5197</v>
      </c>
      <c r="J36" s="27" t="inlineStr">
        <is>
          <t>保持现状</t>
        </is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3</v>
      </c>
      <c r="Q36" s="23" t="n">
        <v>48345</v>
      </c>
      <c r="R36" s="20" t="inlineStr"/>
      <c r="S36" s="24" t="inlineStr">
        <is>
          <t>微调收益不足，或没有实际车型发生换档。</t>
        </is>
      </c>
    </row>
    <row r="37">
      <c r="A37" s="14" t="n">
        <v>13</v>
      </c>
      <c r="B37" s="14" t="inlineStr">
        <is>
          <t>跑车</t>
        </is>
      </c>
      <c r="C37" s="14" t="inlineStr">
        <is>
          <t>普通</t>
        </is>
      </c>
      <c r="D37" s="14" t="inlineStr">
        <is>
          <t>3XXL</t>
        </is>
      </c>
      <c r="E37" s="14" t="inlineStr">
        <is>
          <t>3XXL-0</t>
        </is>
      </c>
      <c r="F37" s="15" t="n">
        <v>5400</v>
      </c>
      <c r="G37" s="15" t="n">
        <v>5485</v>
      </c>
      <c r="H37" s="16">
        <f>G37-F37</f>
        <v/>
      </c>
      <c r="I37" s="15" t="n">
        <v>5400</v>
      </c>
      <c r="J37" s="27" t="inlineStr">
        <is>
          <t>保持现状</t>
        </is>
      </c>
      <c r="K37" s="18" t="n">
        <v>0</v>
      </c>
      <c r="L37" s="18" t="n">
        <v>0</v>
      </c>
      <c r="M37" s="18" t="n">
        <v>0</v>
      </c>
      <c r="N37" s="18" t="n">
        <v>0</v>
      </c>
      <c r="O37" s="18" t="n">
        <v>0</v>
      </c>
      <c r="P37" s="18" t="n">
        <v>2</v>
      </c>
      <c r="Q37" s="18" t="n">
        <v>1875</v>
      </c>
      <c r="R37" s="14" t="inlineStr"/>
      <c r="S37" s="19" t="inlineStr">
        <is>
          <t>微调收益不足，或没有实际车型发生换档。</t>
        </is>
      </c>
    </row>
  </sheetData>
  <mergeCells count="2">
    <mergeCell ref="A2:S2"/>
    <mergeCell ref="A1:S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12.5" customWidth="1" min="5" max="5"/>
    <col width="42" customWidth="1" min="6" max="6"/>
    <col width="10.4" customWidth="1" min="7" max="7"/>
    <col width="21.95" customWidth="1" min="8" max="8"/>
    <col width="34" customWidth="1" min="9" max="9"/>
  </cols>
  <sheetData>
    <row r="1" ht="32" customHeight="1">
      <c r="A1" s="1" t="inlineStr">
        <is>
          <t>高销量车型跨代尺码分布</t>
        </is>
      </c>
    </row>
    <row r="2" ht="28" customHeight="1">
      <c r="A2" s="2" t="inlineStr">
        <is>
          <t>按 MAKE + MODEL + 结构 + 分类 + 普通/W通道聚合；同名车型跨越多代但尺寸跨度过大时，不强制并组。</t>
        </is>
      </c>
    </row>
    <row r="3"/>
    <row r="4" ht="32" customHeight="1">
      <c r="A4" s="13" t="inlineStr">
        <is>
          <t>车型家族</t>
        </is>
      </c>
      <c r="B4" s="13" t="inlineStr">
        <is>
          <t>分类</t>
        </is>
      </c>
      <c r="C4" s="13" t="inlineStr">
        <is>
          <t>通道</t>
        </is>
      </c>
      <c r="D4" s="13" t="inlineStr">
        <is>
          <t>代际数</t>
        </is>
      </c>
      <c r="E4" s="13" t="inlineStr">
        <is>
          <t>家族总销量</t>
        </is>
      </c>
      <c r="F4" s="13" t="inlineStr">
        <is>
          <t>现有尺码分布(销量)</t>
        </is>
      </c>
      <c r="G4" s="13" t="inlineStr">
        <is>
          <t>销量主组</t>
        </is>
      </c>
      <c r="H4" s="13" t="inlineStr">
        <is>
          <t>主组占比</t>
        </is>
      </c>
      <c r="I4" s="13" t="inlineStr">
        <is>
          <t>处理原则</t>
        </is>
      </c>
    </row>
    <row r="5">
      <c r="A5" s="14" t="inlineStr">
        <is>
          <t>Toyota / Camry / Sedan</t>
        </is>
      </c>
      <c r="B5" s="14" t="inlineStr">
        <is>
          <t>三厢车</t>
        </is>
      </c>
      <c r="C5" s="14" t="inlineStr">
        <is>
          <t>普通</t>
        </is>
      </c>
      <c r="D5" s="14" t="n">
        <v>9</v>
      </c>
      <c r="E5" s="18" t="n">
        <v>13023016</v>
      </c>
      <c r="F5" s="14" t="inlineStr">
        <is>
          <t>3M:819,527, 3XL:12,203,489</t>
        </is>
      </c>
      <c r="G5" s="14" t="inlineStr">
        <is>
          <t>3XL</t>
        </is>
      </c>
      <c r="H5" s="28" t="n">
        <v>0.9370708751336864</v>
      </c>
      <c r="I5" s="19" t="inlineStr">
        <is>
          <t>边界代际手动归主组</t>
        </is>
      </c>
    </row>
    <row r="6">
      <c r="A6" s="20" t="inlineStr">
        <is>
          <t>Toyota / Corolla / Sedan</t>
        </is>
      </c>
      <c r="B6" s="20" t="inlineStr">
        <is>
          <t>三厢车</t>
        </is>
      </c>
      <c r="C6" s="20" t="inlineStr">
        <is>
          <t>普通</t>
        </is>
      </c>
      <c r="D6" s="20" t="n">
        <v>11</v>
      </c>
      <c r="E6" s="23" t="n">
        <v>9357600</v>
      </c>
      <c r="F6" s="20" t="inlineStr">
        <is>
          <t>3L:2,546,042, 3M:5,861,554, 3S:950,004</t>
        </is>
      </c>
      <c r="G6" s="20" t="inlineStr">
        <is>
          <t>3M</t>
        </is>
      </c>
      <c r="H6" s="29" t="n">
        <v>0.6263950158160212</v>
      </c>
      <c r="I6" s="24" t="inlineStr">
        <is>
          <t>边界代际手动归主组</t>
        </is>
      </c>
    </row>
    <row r="7">
      <c r="A7" s="14" t="inlineStr">
        <is>
          <t>Honda / Accord / Sedan</t>
        </is>
      </c>
      <c r="B7" s="14" t="inlineStr">
        <is>
          <t>三厢车</t>
        </is>
      </c>
      <c r="C7" s="14" t="inlineStr">
        <is>
          <t>普通</t>
        </is>
      </c>
      <c r="D7" s="14" t="n">
        <v>10</v>
      </c>
      <c r="E7" s="18" t="n">
        <v>7633025</v>
      </c>
      <c r="F7" s="14" t="inlineStr">
        <is>
          <t>3L:1,085,057, 3M:729,588, 3XL:5,818,380</t>
        </is>
      </c>
      <c r="G7" s="14" t="inlineStr">
        <is>
          <t>3XL</t>
        </is>
      </c>
      <c r="H7" s="28" t="n">
        <v>0.7622639779117716</v>
      </c>
      <c r="I7" s="19" t="inlineStr">
        <is>
          <t>边界代际手动归主组</t>
        </is>
      </c>
    </row>
    <row r="8">
      <c r="A8" s="20" t="inlineStr">
        <is>
          <t>Honda / CR-V / SUV</t>
        </is>
      </c>
      <c r="B8" s="20" t="inlineStr">
        <is>
          <t>越野车</t>
        </is>
      </c>
      <c r="C8" s="20" t="inlineStr">
        <is>
          <t>普通</t>
        </is>
      </c>
      <c r="D8" s="20" t="n">
        <v>6</v>
      </c>
      <c r="E8" s="23" t="n">
        <v>7605681</v>
      </c>
      <c r="F8" s="20" t="inlineStr">
        <is>
          <t>YL:1,594,016, YM:6,011,665</t>
        </is>
      </c>
      <c r="G8" s="20" t="inlineStr">
        <is>
          <t>YM</t>
        </is>
      </c>
      <c r="H8" s="29" t="n">
        <v>0.7904177153893255</v>
      </c>
      <c r="I8" s="24" t="inlineStr">
        <is>
          <t>边界代际手动归主组</t>
        </is>
      </c>
    </row>
    <row r="9">
      <c r="A9" s="14" t="inlineStr">
        <is>
          <t>Dodge / Caravan / MPV</t>
        </is>
      </c>
      <c r="B9" s="14" t="inlineStr">
        <is>
          <t>两厢车</t>
        </is>
      </c>
      <c r="C9" s="14" t="inlineStr">
        <is>
          <t>普通</t>
        </is>
      </c>
      <c r="D9" s="14" t="n">
        <v>5</v>
      </c>
      <c r="E9" s="18" t="n">
        <v>7050961</v>
      </c>
      <c r="F9" s="14" t="inlineStr">
        <is>
          <t>2L+:1,435,000, 2XL:3,474,367, 2XL+:650,000, 2XXL:1,491,594</t>
        </is>
      </c>
      <c r="G9" s="14" t="inlineStr">
        <is>
          <t>2XL</t>
        </is>
      </c>
      <c r="H9" s="28" t="n">
        <v>0.4927508463030784</v>
      </c>
      <c r="I9" s="19" t="inlineStr">
        <is>
          <t>保留多尺码；代际尺寸差异较大</t>
        </is>
      </c>
    </row>
    <row r="10">
      <c r="A10" s="20" t="inlineStr">
        <is>
          <t>Ford / Explorer / SUV</t>
        </is>
      </c>
      <c r="B10" s="20" t="inlineStr">
        <is>
          <t>越野车</t>
        </is>
      </c>
      <c r="C10" s="20" t="inlineStr">
        <is>
          <t>普通</t>
        </is>
      </c>
      <c r="D10" s="20" t="n">
        <v>6</v>
      </c>
      <c r="E10" s="23" t="n">
        <v>7000215</v>
      </c>
      <c r="F10" s="20" t="inlineStr">
        <is>
          <t>YL:476,120, YM:3,865,607, YXL:1,687,279, YXXL:971,209</t>
        </is>
      </c>
      <c r="G10" s="20" t="inlineStr">
        <is>
          <t>YM</t>
        </is>
      </c>
      <c r="H10" s="29" t="n">
        <v>0.552212610612674</v>
      </c>
      <c r="I10" s="24" t="inlineStr">
        <is>
          <t>保留多尺码；代际尺寸差异较大</t>
        </is>
      </c>
    </row>
    <row r="11">
      <c r="A11" s="14" t="inlineStr">
        <is>
          <t>Jeep / Grand Cherokee / SUV</t>
        </is>
      </c>
      <c r="B11" s="14" t="inlineStr">
        <is>
          <t>越野车</t>
        </is>
      </c>
      <c r="C11" s="14" t="inlineStr">
        <is>
          <t>普通</t>
        </is>
      </c>
      <c r="D11" s="14" t="n">
        <v>5</v>
      </c>
      <c r="E11" s="18" t="n">
        <v>6407578</v>
      </c>
      <c r="F11" s="14" t="inlineStr">
        <is>
          <t>YL:1,982,400, YM:2,396,026, YXL:1,392,170, YXXL:636,982</t>
        </is>
      </c>
      <c r="G11" s="14" t="inlineStr">
        <is>
          <t>YM</t>
        </is>
      </c>
      <c r="H11" s="28" t="n">
        <v>0.3739362985514963</v>
      </c>
      <c r="I11" s="19" t="inlineStr">
        <is>
          <t>保留多尺码；代际尺寸差异较大</t>
        </is>
      </c>
    </row>
    <row r="12">
      <c r="A12" s="20" t="inlineStr">
        <is>
          <t>Nissan / Altima / Sedan</t>
        </is>
      </c>
      <c r="B12" s="20" t="inlineStr">
        <is>
          <t>三厢车</t>
        </is>
      </c>
      <c r="C12" s="20" t="inlineStr">
        <is>
          <t>普通</t>
        </is>
      </c>
      <c r="D12" s="20" t="n">
        <v>6</v>
      </c>
      <c r="E12" s="23" t="n">
        <v>6078484</v>
      </c>
      <c r="F12" s="20" t="inlineStr">
        <is>
          <t>3L:1,337,303, 3XL:4,741,181</t>
        </is>
      </c>
      <c r="G12" s="20" t="inlineStr">
        <is>
          <t>3XL</t>
        </is>
      </c>
      <c r="H12" s="29" t="n">
        <v>0.779993991922986</v>
      </c>
      <c r="I12" s="24" t="inlineStr">
        <is>
          <t>边界代际手动归主组</t>
        </is>
      </c>
    </row>
    <row r="13">
      <c r="A13" s="14" t="inlineStr">
        <is>
          <t>Ford / F-150 / Pickup (Regular/8)</t>
        </is>
      </c>
      <c r="B13" s="14" t="inlineStr">
        <is>
          <t>皮卡</t>
        </is>
      </c>
      <c r="C13" s="14" t="inlineStr">
        <is>
          <t>普通</t>
        </is>
      </c>
      <c r="D13" s="14" t="n">
        <v>6</v>
      </c>
      <c r="E13" s="18" t="n">
        <v>5294367</v>
      </c>
      <c r="F13" s="14" t="inlineStr">
        <is>
          <t>PK-L:4,413,950, PK-M+:880,417</t>
        </is>
      </c>
      <c r="G13" s="14" t="inlineStr">
        <is>
          <t>PK-L</t>
        </is>
      </c>
      <c r="H13" s="28" t="n">
        <v>0.8337068435187813</v>
      </c>
      <c r="I13" s="19" t="inlineStr">
        <is>
          <t>边界代际手动归主组</t>
        </is>
      </c>
    </row>
    <row r="14">
      <c r="A14" s="20" t="inlineStr">
        <is>
          <t>Honda / Civic / Sedan</t>
        </is>
      </c>
      <c r="B14" s="20" t="inlineStr">
        <is>
          <t>三厢车</t>
        </is>
      </c>
      <c r="C14" s="20" t="inlineStr">
        <is>
          <t>普通</t>
        </is>
      </c>
      <c r="D14" s="20" t="n">
        <v>11</v>
      </c>
      <c r="E14" s="23" t="n">
        <v>5178627</v>
      </c>
      <c r="F14" s="20" t="inlineStr">
        <is>
          <t>3L:909,673, 3M:3,413,965, 3S:854,989</t>
        </is>
      </c>
      <c r="G14" s="20" t="inlineStr">
        <is>
          <t>3M</t>
        </is>
      </c>
      <c r="H14" s="29" t="n">
        <v>0.6592413394515574</v>
      </c>
      <c r="I14" s="24" t="inlineStr">
        <is>
          <t>边界代际手动归主组</t>
        </is>
      </c>
    </row>
    <row r="15">
      <c r="A15" s="14" t="inlineStr">
        <is>
          <t>Honda / Accord / Coupe</t>
        </is>
      </c>
      <c r="B15" s="14" t="inlineStr">
        <is>
          <t>跑车</t>
        </is>
      </c>
      <c r="C15" s="14" t="inlineStr">
        <is>
          <t>普通</t>
        </is>
      </c>
      <c r="D15" s="14" t="n">
        <v>7</v>
      </c>
      <c r="E15" s="18" t="n">
        <v>4858828</v>
      </c>
      <c r="F15" s="14" t="inlineStr">
        <is>
          <t>3L:1,247,089, 3XL:3,611,739</t>
        </is>
      </c>
      <c r="G15" s="14" t="inlineStr">
        <is>
          <t>3XL</t>
        </is>
      </c>
      <c r="H15" s="28" t="n">
        <v>0.7433354298608635</v>
      </c>
      <c r="I15" s="19" t="inlineStr">
        <is>
          <t>边界代际手动归主组</t>
        </is>
      </c>
    </row>
    <row r="16">
      <c r="A16" s="20" t="inlineStr">
        <is>
          <t>Ford / Mustang / Coupe</t>
        </is>
      </c>
      <c r="B16" s="20" t="inlineStr">
        <is>
          <t>跑车</t>
        </is>
      </c>
      <c r="C16" s="20" t="inlineStr">
        <is>
          <t>普通</t>
        </is>
      </c>
      <c r="D16" s="20" t="n">
        <v>7</v>
      </c>
      <c r="E16" s="23" t="n">
        <v>4473399</v>
      </c>
      <c r="F16" s="20" t="inlineStr">
        <is>
          <t>3L:2,015,096, 3M:1,265,548, 3XL:1,192,755</t>
        </is>
      </c>
      <c r="G16" s="20" t="inlineStr">
        <is>
          <t>3L</t>
        </is>
      </c>
      <c r="H16" s="29" t="n">
        <v>0.4504619418030898</v>
      </c>
      <c r="I16" s="24" t="inlineStr">
        <is>
          <t>保留多尺码；代际尺寸差异较大</t>
        </is>
      </c>
    </row>
    <row r="17">
      <c r="A17" s="14" t="inlineStr">
        <is>
          <t>Ford / F-150 / Pickup (Regular/6.5)</t>
        </is>
      </c>
      <c r="B17" s="14" t="inlineStr">
        <is>
          <t>皮卡</t>
        </is>
      </c>
      <c r="C17" s="14" t="inlineStr">
        <is>
          <t>普通</t>
        </is>
      </c>
      <c r="D17" s="14" t="n">
        <v>6</v>
      </c>
      <c r="E17" s="18" t="n">
        <v>4413957</v>
      </c>
      <c r="F17" s="14" t="inlineStr">
        <is>
          <t>PK-M:1,690,780, PK-M+:2,723,177</t>
        </is>
      </c>
      <c r="G17" s="14" t="inlineStr">
        <is>
          <t>PK-M+</t>
        </is>
      </c>
      <c r="H17" s="28" t="n">
        <v>0.6169468800896791</v>
      </c>
      <c r="I17" s="19" t="inlineStr">
        <is>
          <t>边界代际手动归主组</t>
        </is>
      </c>
    </row>
    <row r="18">
      <c r="A18" s="20" t="inlineStr">
        <is>
          <t>Buick / Century / Wagon</t>
        </is>
      </c>
      <c r="B18" s="20" t="inlineStr">
        <is>
          <t>两厢车</t>
        </is>
      </c>
      <c r="C18" s="20" t="inlineStr">
        <is>
          <t>普通</t>
        </is>
      </c>
      <c r="D18" s="20" t="n">
        <v>4</v>
      </c>
      <c r="E18" s="23" t="n">
        <v>4368902</v>
      </c>
      <c r="F18" s="20" t="inlineStr">
        <is>
          <t>:1,343,560, 2XL:2,246,096, 2XL+:436,279, 2XXL:342,967</t>
        </is>
      </c>
      <c r="G18" s="20" t="inlineStr">
        <is>
          <t>2XL</t>
        </is>
      </c>
      <c r="H18" s="29" t="n">
        <v>0.5141099525693184</v>
      </c>
      <c r="I18" s="24" t="inlineStr">
        <is>
          <t>保留多尺码；代际尺寸差异较大</t>
        </is>
      </c>
    </row>
    <row r="19">
      <c r="A19" s="14" t="inlineStr">
        <is>
          <t>Nissan / Sentra / Sedan</t>
        </is>
      </c>
      <c r="B19" s="14" t="inlineStr">
        <is>
          <t>三厢车</t>
        </is>
      </c>
      <c r="C19" s="14" t="inlineStr">
        <is>
          <t>普通</t>
        </is>
      </c>
      <c r="D19" s="14" t="n">
        <v>7</v>
      </c>
      <c r="E19" s="18" t="n">
        <v>4218799</v>
      </c>
      <c r="F19" s="14" t="inlineStr">
        <is>
          <t>3L:2,825,888, 3M:1,392,911, 3S:0</t>
        </is>
      </c>
      <c r="G19" s="14" t="inlineStr">
        <is>
          <t>3L</t>
        </is>
      </c>
      <c r="H19" s="28" t="n">
        <v>0.6698323385399494</v>
      </c>
      <c r="I19" s="19" t="inlineStr">
        <is>
          <t>边界代际手动归主组</t>
        </is>
      </c>
    </row>
    <row r="20">
      <c r="A20" s="20" t="inlineStr">
        <is>
          <t>Ford / F-250/F-350 Super Duty / Pickup (SuperCab/6.8)</t>
        </is>
      </c>
      <c r="B20" s="20" t="inlineStr">
        <is>
          <t>皮卡</t>
        </is>
      </c>
      <c r="C20" s="20" t="inlineStr">
        <is>
          <t>普通</t>
        </is>
      </c>
      <c r="D20" s="20" t="n">
        <v>5</v>
      </c>
      <c r="E20" s="23" t="n">
        <v>4193107</v>
      </c>
      <c r="F20" s="20" t="inlineStr">
        <is>
          <t>PK-L:1,820,336, PK-XL:2,372,771</t>
        </is>
      </c>
      <c r="G20" s="20" t="inlineStr">
        <is>
          <t>PK-XL</t>
        </is>
      </c>
      <c r="H20" s="29" t="n">
        <v>0.5658741835111768</v>
      </c>
      <c r="I20" s="24" t="inlineStr">
        <is>
          <t>保留多尺码；代际尺寸差异较大</t>
        </is>
      </c>
    </row>
    <row r="21">
      <c r="A21" s="14" t="inlineStr">
        <is>
          <t>Ford / F-250/F-350 Super Duty / Pickup (SuperCab/8)</t>
        </is>
      </c>
      <c r="B21" s="14" t="inlineStr">
        <is>
          <t>皮卡</t>
        </is>
      </c>
      <c r="C21" s="14" t="inlineStr">
        <is>
          <t>普通</t>
        </is>
      </c>
      <c r="D21" s="14" t="n">
        <v>5</v>
      </c>
      <c r="E21" s="18" t="n">
        <v>4193098</v>
      </c>
      <c r="F21" s="14" t="inlineStr">
        <is>
          <t>PK-XL:349,143, PK-XXL:2,340,915, PK-XXXL:1,503,040</t>
        </is>
      </c>
      <c r="G21" s="14" t="inlineStr">
        <is>
          <t>PK-XXL</t>
        </is>
      </c>
      <c r="H21" s="28" t="n">
        <v>0.5582781513811507</v>
      </c>
      <c r="I21" s="19" t="inlineStr">
        <is>
          <t>保留多尺码；代际尺寸差异较大</t>
        </is>
      </c>
    </row>
    <row r="22">
      <c r="A22" s="20" t="inlineStr">
        <is>
          <t>Oldsmobile / Cutlass / Sedan [W]</t>
        </is>
      </c>
      <c r="B22" s="20" t="inlineStr">
        <is>
          <t>三厢车</t>
        </is>
      </c>
      <c r="C22" s="20" t="inlineStr">
        <is>
          <t>W</t>
        </is>
      </c>
      <c r="D22" s="20" t="n">
        <v>6</v>
      </c>
      <c r="E22" s="23" t="n">
        <v>4002938</v>
      </c>
      <c r="F22" s="20" t="inlineStr">
        <is>
          <t>3WX:1,387,703, 3WXXL:2,615,235</t>
        </is>
      </c>
      <c r="G22" s="20" t="inlineStr">
        <is>
          <t>3WXXL</t>
        </is>
      </c>
      <c r="H22" s="29" t="n">
        <v>0.6533288799376857</v>
      </c>
      <c r="I22" s="24" t="inlineStr">
        <is>
          <t>边界代际手动归主组</t>
        </is>
      </c>
    </row>
    <row r="23">
      <c r="A23" s="14" t="inlineStr">
        <is>
          <t>Honda / Civic / Coupe</t>
        </is>
      </c>
      <c r="B23" s="14" t="inlineStr">
        <is>
          <t>跑车</t>
        </is>
      </c>
      <c r="C23" s="14" t="inlineStr">
        <is>
          <t>普通</t>
        </is>
      </c>
      <c r="D23" s="14" t="n">
        <v>7</v>
      </c>
      <c r="E23" s="18" t="n">
        <v>3919913</v>
      </c>
      <c r="F23" s="14" t="inlineStr">
        <is>
          <t>3M:3,681,118, 3S:238,795</t>
        </is>
      </c>
      <c r="G23" s="14" t="inlineStr">
        <is>
          <t>3M</t>
        </is>
      </c>
      <c r="H23" s="28" t="n">
        <v>0.9390815561467818</v>
      </c>
      <c r="I23" s="19" t="inlineStr">
        <is>
          <t>边界代际手动归主组</t>
        </is>
      </c>
    </row>
    <row r="24">
      <c r="A24" s="20" t="inlineStr">
        <is>
          <t>Volkswagen / Passat / Sedan</t>
        </is>
      </c>
      <c r="B24" s="20" t="inlineStr">
        <is>
          <t>三厢车</t>
        </is>
      </c>
      <c r="C24" s="20" t="inlineStr">
        <is>
          <t>普通</t>
        </is>
      </c>
      <c r="D24" s="20" t="n">
        <v>6</v>
      </c>
      <c r="E24" s="23" t="n">
        <v>3815725</v>
      </c>
      <c r="F24" s="20" t="inlineStr">
        <is>
          <t>3L:1,378,051, 3M:5,890, 3XL:2,431,784</t>
        </is>
      </c>
      <c r="G24" s="20" t="inlineStr">
        <is>
          <t>3XL</t>
        </is>
      </c>
      <c r="H24" s="29" t="n">
        <v>0.637305885513238</v>
      </c>
      <c r="I24" s="24" t="inlineStr">
        <is>
          <t>边界代际手动归主组</t>
        </is>
      </c>
    </row>
    <row r="25">
      <c r="A25" s="14" t="inlineStr">
        <is>
          <t>Chevrolet / Tahoe / SUV</t>
        </is>
      </c>
      <c r="B25" s="14" t="inlineStr">
        <is>
          <t>越野车</t>
        </is>
      </c>
      <c r="C25" s="14" t="inlineStr">
        <is>
          <t>普通</t>
        </is>
      </c>
      <c r="D25" s="14" t="n">
        <v>5</v>
      </c>
      <c r="E25" s="18" t="n">
        <v>3793333</v>
      </c>
      <c r="F25" s="14" t="inlineStr">
        <is>
          <t>YL:311,807, YXXL:2,878,569, YXXL-545:602,957</t>
        </is>
      </c>
      <c r="G25" s="14" t="inlineStr">
        <is>
          <t>YXXL</t>
        </is>
      </c>
      <c r="H25" s="28" t="n">
        <v>0.7588495394419631</v>
      </c>
      <c r="I25" s="19" t="inlineStr">
        <is>
          <t>边界代际手动归主组</t>
        </is>
      </c>
    </row>
    <row r="26">
      <c r="A26" s="20" t="inlineStr">
        <is>
          <t>Toyota / Highlander / SUV</t>
        </is>
      </c>
      <c r="B26" s="20" t="inlineStr">
        <is>
          <t>越野车</t>
        </is>
      </c>
      <c r="C26" s="20" t="inlineStr">
        <is>
          <t>普通</t>
        </is>
      </c>
      <c r="D26" s="20" t="n">
        <v>4</v>
      </c>
      <c r="E26" s="23" t="n">
        <v>3752708</v>
      </c>
      <c r="F26" s="20" t="inlineStr">
        <is>
          <t>YL:1,477,945, YXL:2,274,763</t>
        </is>
      </c>
      <c r="G26" s="20" t="inlineStr">
        <is>
          <t>YXL</t>
        </is>
      </c>
      <c r="H26" s="29" t="n">
        <v>0.6061657341844876</v>
      </c>
      <c r="I26" s="24" t="inlineStr">
        <is>
          <t>边界代际手动归主组</t>
        </is>
      </c>
    </row>
    <row r="27">
      <c r="A27" s="14" t="inlineStr">
        <is>
          <t>Jeep / Cherokee / SUV</t>
        </is>
      </c>
      <c r="B27" s="14" t="inlineStr">
        <is>
          <t>越野车</t>
        </is>
      </c>
      <c r="C27" s="14" t="inlineStr">
        <is>
          <t>普通</t>
        </is>
      </c>
      <c r="D27" s="14" t="n">
        <v>3</v>
      </c>
      <c r="E27" s="18" t="n">
        <v>3698866</v>
      </c>
      <c r="F27" s="14" t="inlineStr">
        <is>
          <t>YL:21,200, YM:3,677,666</t>
        </is>
      </c>
      <c r="G27" s="14" t="inlineStr">
        <is>
          <t>YM</t>
        </is>
      </c>
      <c r="H27" s="28" t="n">
        <v>0.9942685136471556</v>
      </c>
      <c r="I27" s="19" t="inlineStr">
        <is>
          <t>边界代际手动归主组</t>
        </is>
      </c>
    </row>
    <row r="28">
      <c r="A28" s="20" t="inlineStr">
        <is>
          <t>Volkswagen / Jetta / Sedan</t>
        </is>
      </c>
      <c r="B28" s="20" t="inlineStr">
        <is>
          <t>三厢车</t>
        </is>
      </c>
      <c r="C28" s="20" t="inlineStr">
        <is>
          <t>普通</t>
        </is>
      </c>
      <c r="D28" s="20" t="n">
        <v>7</v>
      </c>
      <c r="E28" s="23" t="n">
        <v>3608039</v>
      </c>
      <c r="F28" s="20" t="inlineStr">
        <is>
          <t>3L:1,078,396, 3M:2,190,835, 3S:110,281, 3XL:228,527</t>
        </is>
      </c>
      <c r="G28" s="20" t="inlineStr">
        <is>
          <t>3M</t>
        </is>
      </c>
      <c r="H28" s="29" t="n">
        <v>0.6072093455752557</v>
      </c>
      <c r="I28" s="24" t="inlineStr">
        <is>
          <t>边界代际手动归主组</t>
        </is>
      </c>
    </row>
    <row r="29">
      <c r="A29" s="14" t="inlineStr">
        <is>
          <t>Chevrolet / C/K / Pickup (Regular/8)</t>
        </is>
      </c>
      <c r="B29" s="14" t="inlineStr">
        <is>
          <t>皮卡</t>
        </is>
      </c>
      <c r="C29" s="14" t="inlineStr">
        <is>
          <t>普通</t>
        </is>
      </c>
      <c r="D29" s="14" t="n">
        <v>4</v>
      </c>
      <c r="E29" s="18" t="n">
        <v>3581333</v>
      </c>
      <c r="F29" s="14" t="inlineStr">
        <is>
          <t>PK-M:1,465,833, PK-M+:2,115,500</t>
        </is>
      </c>
      <c r="G29" s="14" t="inlineStr">
        <is>
          <t>PK-M+</t>
        </is>
      </c>
      <c r="H29" s="28" t="n">
        <v>0.5907018420236264</v>
      </c>
      <c r="I29" s="19" t="inlineStr">
        <is>
          <t>保留多尺码；代际尺寸差异较大</t>
        </is>
      </c>
    </row>
    <row r="30">
      <c r="A30" s="20" t="inlineStr">
        <is>
          <t>Hyundai / Sonata / Sedan</t>
        </is>
      </c>
      <c r="B30" s="20" t="inlineStr">
        <is>
          <t>三厢车</t>
        </is>
      </c>
      <c r="C30" s="20" t="inlineStr">
        <is>
          <t>普通</t>
        </is>
      </c>
      <c r="D30" s="20" t="n">
        <v>7</v>
      </c>
      <c r="E30" s="23" t="n">
        <v>3525373</v>
      </c>
      <c r="F30" s="20" t="inlineStr">
        <is>
          <t>3L:411,332, 3XL:3,114,041</t>
        </is>
      </c>
      <c r="G30" s="20" t="inlineStr">
        <is>
          <t>3XL</t>
        </is>
      </c>
      <c r="H30" s="29" t="n">
        <v>0.8833224172307441</v>
      </c>
      <c r="I30" s="24" t="inlineStr">
        <is>
          <t>边界代际手动归主组</t>
        </is>
      </c>
    </row>
    <row r="31">
      <c r="A31" s="14" t="inlineStr">
        <is>
          <t>Chevrolet / Blazer / SUV</t>
        </is>
      </c>
      <c r="B31" s="14" t="inlineStr">
        <is>
          <t>越野车</t>
        </is>
      </c>
      <c r="C31" s="14" t="inlineStr">
        <is>
          <t>普通</t>
        </is>
      </c>
      <c r="D31" s="14" t="n">
        <v>3</v>
      </c>
      <c r="E31" s="18" t="n">
        <v>3500443</v>
      </c>
      <c r="F31" s="14" t="inlineStr">
        <is>
          <t>YL:2,683,344, YM:313,307, YXL:503,792</t>
        </is>
      </c>
      <c r="G31" s="14" t="inlineStr">
        <is>
          <t>YL</t>
        </is>
      </c>
      <c r="H31" s="28" t="n">
        <v>0.7665726880854795</v>
      </c>
      <c r="I31" s="19" t="inlineStr">
        <is>
          <t>边界代际手动归主组</t>
        </is>
      </c>
    </row>
    <row r="32">
      <c r="A32" s="20" t="inlineStr">
        <is>
          <t>Toyota / 4Runner / SUV</t>
        </is>
      </c>
      <c r="B32" s="20" t="inlineStr">
        <is>
          <t>越野车</t>
        </is>
      </c>
      <c r="C32" s="20" t="inlineStr">
        <is>
          <t>普通</t>
        </is>
      </c>
      <c r="D32" s="20" t="n">
        <v>6</v>
      </c>
      <c r="E32" s="23" t="n">
        <v>3471352</v>
      </c>
      <c r="F32" s="20" t="inlineStr">
        <is>
          <t>YL:1,180,228, YM:755,390, YXL:1,535,734</t>
        </is>
      </c>
      <c r="G32" s="20" t="inlineStr">
        <is>
          <t>YXL</t>
        </is>
      </c>
      <c r="H32" s="29" t="n">
        <v>0.4424022686261722</v>
      </c>
      <c r="I32" s="24" t="inlineStr">
        <is>
          <t>保留多尺码；代际尺寸差异较大</t>
        </is>
      </c>
    </row>
    <row r="33">
      <c r="A33" s="14" t="inlineStr">
        <is>
          <t>Oldsmobile / 88 / Sedan [W]</t>
        </is>
      </c>
      <c r="B33" s="14" t="inlineStr">
        <is>
          <t>三厢车</t>
        </is>
      </c>
      <c r="C33" s="14" t="inlineStr">
        <is>
          <t>W</t>
        </is>
      </c>
      <c r="D33" s="14" t="n">
        <v>10</v>
      </c>
      <c r="E33" s="18" t="n">
        <v>3451697</v>
      </c>
      <c r="F33" s="14" t="inlineStr">
        <is>
          <t>3WX:386,143, 3WXXL:1,390,556, 3WXXXL:1,674,998</t>
        </is>
      </c>
      <c r="G33" s="14" t="inlineStr">
        <is>
          <t>3WXXXL</t>
        </is>
      </c>
      <c r="H33" s="28" t="n">
        <v>0.4852679710878446</v>
      </c>
      <c r="I33" s="19" t="inlineStr">
        <is>
          <t>保留多尺码；代际尺寸差异较大</t>
        </is>
      </c>
    </row>
    <row r="34">
      <c r="A34" s="20" t="inlineStr">
        <is>
          <t>Ram / 1500 / Pickup (Regular/6.4)</t>
        </is>
      </c>
      <c r="B34" s="20" t="inlineStr">
        <is>
          <t>皮卡</t>
        </is>
      </c>
      <c r="C34" s="20" t="inlineStr">
        <is>
          <t>普通</t>
        </is>
      </c>
      <c r="D34" s="20" t="n">
        <v>3</v>
      </c>
      <c r="E34" s="23" t="n">
        <v>3449822</v>
      </c>
      <c r="F34" s="20" t="inlineStr">
        <is>
          <t>PK-M:2,624,306, PK-M+:825,516</t>
        </is>
      </c>
      <c r="G34" s="20" t="inlineStr">
        <is>
          <t>PK-M</t>
        </is>
      </c>
      <c r="H34" s="29" t="n">
        <v>0.7607076539021433</v>
      </c>
      <c r="I34" s="24" t="inlineStr">
        <is>
          <t>边界代际手动归主组</t>
        </is>
      </c>
    </row>
    <row r="35">
      <c r="A35" s="14" t="inlineStr">
        <is>
          <t>Ford / F-150 / Pickup (SuperCab/6.5)</t>
        </is>
      </c>
      <c r="B35" s="14" t="inlineStr">
        <is>
          <t>皮卡</t>
        </is>
      </c>
      <c r="C35" s="14" t="inlineStr">
        <is>
          <t>普通</t>
        </is>
      </c>
      <c r="D35" s="14" t="n">
        <v>6</v>
      </c>
      <c r="E35" s="18" t="n">
        <v>3442212</v>
      </c>
      <c r="F35" s="14" t="inlineStr">
        <is>
          <t>PK-L:3,138,462, PK-M+:303,750</t>
        </is>
      </c>
      <c r="G35" s="14" t="inlineStr">
        <is>
          <t>PK-L</t>
        </is>
      </c>
      <c r="H35" s="28" t="n">
        <v>0.911757323488501</v>
      </c>
      <c r="I35" s="19" t="inlineStr">
        <is>
          <t>边界代际手动归主组</t>
        </is>
      </c>
    </row>
    <row r="36">
      <c r="A36" s="20" t="inlineStr">
        <is>
          <t>Cadillac / DeVille / Sedan [W]</t>
        </is>
      </c>
      <c r="B36" s="20" t="inlineStr">
        <is>
          <t>三厢车</t>
        </is>
      </c>
      <c r="C36" s="20" t="inlineStr">
        <is>
          <t>W</t>
        </is>
      </c>
      <c r="D36" s="20" t="n">
        <v>8</v>
      </c>
      <c r="E36" s="23" t="n">
        <v>3410517</v>
      </c>
      <c r="F36" s="20" t="inlineStr">
        <is>
          <t>3WX:300,000, 3WXXL:955,184, 3WXXXL:2,155,333</t>
        </is>
      </c>
      <c r="G36" s="20" t="inlineStr">
        <is>
          <t>3WXXXL</t>
        </is>
      </c>
      <c r="H36" s="29" t="n">
        <v>0.6319666490447049</v>
      </c>
      <c r="I36" s="24" t="inlineStr">
        <is>
          <t>边界代际手动归主组</t>
        </is>
      </c>
    </row>
    <row r="37">
      <c r="A37" s="14" t="inlineStr">
        <is>
          <t>Cadillac / DeVille / Coupe [W]</t>
        </is>
      </c>
      <c r="B37" s="14" t="inlineStr">
        <is>
          <t>跑车</t>
        </is>
      </c>
      <c r="C37" s="14" t="inlineStr">
        <is>
          <t>W</t>
        </is>
      </c>
      <c r="D37" s="14" t="n">
        <v>6</v>
      </c>
      <c r="E37" s="18" t="n">
        <v>3399500</v>
      </c>
      <c r="F37" s="14" t="inlineStr">
        <is>
          <t>3WX:300,000, 3WXXL:214,157, 3WXXXL:2,885,343</t>
        </is>
      </c>
      <c r="G37" s="14" t="inlineStr">
        <is>
          <t>3WXXXL</t>
        </is>
      </c>
      <c r="H37" s="28" t="n">
        <v>0.848755111045742</v>
      </c>
      <c r="I37" s="19" t="inlineStr">
        <is>
          <t>边界代际手动归主组</t>
        </is>
      </c>
    </row>
    <row r="38">
      <c r="A38" s="20" t="inlineStr">
        <is>
          <t>Buick / LeSabre / Sedan [W]</t>
        </is>
      </c>
      <c r="B38" s="20" t="inlineStr">
        <is>
          <t>三厢车</t>
        </is>
      </c>
      <c r="C38" s="20" t="inlineStr">
        <is>
          <t>W</t>
        </is>
      </c>
      <c r="D38" s="20" t="n">
        <v>8</v>
      </c>
      <c r="E38" s="23" t="n">
        <v>3298744</v>
      </c>
      <c r="F38" s="20" t="inlineStr">
        <is>
          <t>3WX:289,556, 3WXXL:2,035,649, 3WXXXL:973,539</t>
        </is>
      </c>
      <c r="G38" s="20" t="inlineStr">
        <is>
          <t>3WXXL</t>
        </is>
      </c>
      <c r="H38" s="29" t="n">
        <v>0.6170982046500122</v>
      </c>
      <c r="I38" s="24" t="inlineStr">
        <is>
          <t>边界代际手动归主组</t>
        </is>
      </c>
    </row>
    <row r="39">
      <c r="A39" s="14" t="inlineStr">
        <is>
          <t>Honda / Odyssey / MPV</t>
        </is>
      </c>
      <c r="B39" s="14" t="inlineStr">
        <is>
          <t>两厢车</t>
        </is>
      </c>
      <c r="C39" s="14" t="inlineStr">
        <is>
          <t>普通</t>
        </is>
      </c>
      <c r="D39" s="14" t="n">
        <v>5</v>
      </c>
      <c r="E39" s="18" t="n">
        <v>3289896</v>
      </c>
      <c r="F39" s="14" t="inlineStr">
        <is>
          <t>2XL:94,088, 2XL+:797,315, 2XXL:2,398,493</t>
        </is>
      </c>
      <c r="G39" s="14" t="inlineStr">
        <is>
          <t>2XXL</t>
        </is>
      </c>
      <c r="H39" s="28" t="n">
        <v>0.7290482738664079</v>
      </c>
      <c r="I39" s="19" t="inlineStr">
        <is>
          <t>边界代际手动归主组</t>
        </is>
      </c>
    </row>
    <row r="40">
      <c r="A40" s="20" t="inlineStr">
        <is>
          <t>Chevrolet / Bel Air / Sedan [W]</t>
        </is>
      </c>
      <c r="B40" s="20" t="inlineStr">
        <is>
          <t>三厢车</t>
        </is>
      </c>
      <c r="C40" s="20" t="inlineStr">
        <is>
          <t>W</t>
        </is>
      </c>
      <c r="D40" s="20" t="n">
        <v>7</v>
      </c>
      <c r="E40" s="23" t="n">
        <v>3208533</v>
      </c>
      <c r="F40" s="20" t="inlineStr">
        <is>
          <t>3WX:579,304, 3WXXL:2,133,523, 3WXXXL:495,706</t>
        </is>
      </c>
      <c r="G40" s="20" t="inlineStr">
        <is>
          <t>3WXXL</t>
        </is>
      </c>
      <c r="H40" s="29" t="n">
        <v>0.6649527993011136</v>
      </c>
      <c r="I40" s="24" t="inlineStr">
        <is>
          <t>边界代际手动归主组</t>
        </is>
      </c>
    </row>
    <row r="41">
      <c r="A41" s="14" t="inlineStr">
        <is>
          <t>Chevrolet / Camaro / Coupe</t>
        </is>
      </c>
      <c r="B41" s="14" t="inlineStr">
        <is>
          <t>跑车</t>
        </is>
      </c>
      <c r="C41" s="14" t="inlineStr">
        <is>
          <t>普通</t>
        </is>
      </c>
      <c r="D41" s="14" t="n">
        <v>6</v>
      </c>
      <c r="E41" s="18" t="n">
        <v>3206075</v>
      </c>
      <c r="F41" s="14" t="inlineStr">
        <is>
          <t>3L:349,568, 3XL:2,856,507</t>
        </is>
      </c>
      <c r="G41" s="14" t="inlineStr">
        <is>
          <t>3XL</t>
        </is>
      </c>
      <c r="H41" s="28" t="n">
        <v>0.8909669923504596</v>
      </c>
      <c r="I41" s="19" t="inlineStr">
        <is>
          <t>边界代际手动归主组</t>
        </is>
      </c>
    </row>
    <row r="42">
      <c r="A42" s="20" t="inlineStr">
        <is>
          <t>Subaru / Forester / SUV</t>
        </is>
      </c>
      <c r="B42" s="20" t="inlineStr">
        <is>
          <t>越野车</t>
        </is>
      </c>
      <c r="C42" s="20" t="inlineStr">
        <is>
          <t>普通</t>
        </is>
      </c>
      <c r="D42" s="20" t="n">
        <v>6</v>
      </c>
      <c r="E42" s="23" t="n">
        <v>3179323</v>
      </c>
      <c r="F42" s="20" t="inlineStr">
        <is>
          <t>YL:787,253, YM:2,392,070</t>
        </is>
      </c>
      <c r="G42" s="20" t="inlineStr">
        <is>
          <t>YM</t>
        </is>
      </c>
      <c r="H42" s="29" t="n">
        <v>0.7523834476710922</v>
      </c>
      <c r="I42" s="24" t="inlineStr">
        <is>
          <t>边界代际手动归主组</t>
        </is>
      </c>
    </row>
    <row r="43">
      <c r="A43" s="14" t="inlineStr">
        <is>
          <t>Oldsmobile / Cutlass / Coupe [W]</t>
        </is>
      </c>
      <c r="B43" s="14" t="inlineStr">
        <is>
          <t>跑车</t>
        </is>
      </c>
      <c r="C43" s="14" t="inlineStr">
        <is>
          <t>W</t>
        </is>
      </c>
      <c r="D43" s="14" t="n">
        <v>6</v>
      </c>
      <c r="E43" s="18" t="n">
        <v>3137223</v>
      </c>
      <c r="F43" s="14" t="inlineStr">
        <is>
          <t>3WX:1,284,736, 3WXXL:1,852,487</t>
        </is>
      </c>
      <c r="G43" s="14" t="inlineStr">
        <is>
          <t>3WXXL</t>
        </is>
      </c>
      <c r="H43" s="28" t="n">
        <v>0.5904862357569098</v>
      </c>
      <c r="I43" s="19" t="inlineStr">
        <is>
          <t>保留多尺码；代际尺寸差异较大</t>
        </is>
      </c>
    </row>
    <row r="44">
      <c r="A44" s="20" t="inlineStr">
        <is>
          <t>Nissan / Maxima / Sedan</t>
        </is>
      </c>
      <c r="B44" s="20" t="inlineStr">
        <is>
          <t>三厢车</t>
        </is>
      </c>
      <c r="C44" s="20" t="inlineStr">
        <is>
          <t>普通</t>
        </is>
      </c>
      <c r="D44" s="20" t="n">
        <v>8</v>
      </c>
      <c r="E44" s="23" t="n">
        <v>3113874</v>
      </c>
      <c r="F44" s="20" t="inlineStr">
        <is>
          <t>3L:379,526, 3XL:2,734,348</t>
        </is>
      </c>
      <c r="G44" s="20" t="inlineStr">
        <is>
          <t>3XL</t>
        </is>
      </c>
      <c r="H44" s="29" t="n">
        <v>0.8781177401526202</v>
      </c>
      <c r="I44" s="24" t="inlineStr">
        <is>
          <t>边界代际手动归主组</t>
        </is>
      </c>
    </row>
    <row r="45">
      <c r="A45" s="14" t="inlineStr">
        <is>
          <t>Hyundai / Elantra / Sedan</t>
        </is>
      </c>
      <c r="B45" s="14" t="inlineStr">
        <is>
          <t>三厢车</t>
        </is>
      </c>
      <c r="C45" s="14" t="inlineStr">
        <is>
          <t>普通</t>
        </is>
      </c>
      <c r="D45" s="14" t="n">
        <v>7</v>
      </c>
      <c r="E45" s="18" t="n">
        <v>3069756</v>
      </c>
      <c r="F45" s="14" t="inlineStr">
        <is>
          <t>3L:1,075,764, 3M:1,993,992</t>
        </is>
      </c>
      <c r="G45" s="14" t="inlineStr">
        <is>
          <t>3M</t>
        </is>
      </c>
      <c r="H45" s="28" t="n">
        <v>0.6495604210888423</v>
      </c>
      <c r="I45" s="19" t="inlineStr">
        <is>
          <t>边界代际手动归主组</t>
        </is>
      </c>
    </row>
    <row r="46">
      <c r="A46" s="20" t="inlineStr">
        <is>
          <t>Toyota / Sienna / MPV</t>
        </is>
      </c>
      <c r="B46" s="20" t="inlineStr">
        <is>
          <t>两厢车</t>
        </is>
      </c>
      <c r="C46" s="20" t="inlineStr">
        <is>
          <t>普通</t>
        </is>
      </c>
      <c r="D46" s="20" t="n">
        <v>4</v>
      </c>
      <c r="E46" s="23" t="n">
        <v>3062494</v>
      </c>
      <c r="F46" s="20" t="inlineStr">
        <is>
          <t>2XL+:2,531,187, 2XXL:531,307</t>
        </is>
      </c>
      <c r="G46" s="20" t="inlineStr">
        <is>
          <t>2XL+</t>
        </is>
      </c>
      <c r="H46" s="29" t="n">
        <v>0.826511660104477</v>
      </c>
      <c r="I46" s="24" t="inlineStr">
        <is>
          <t>边界代际手动归主组</t>
        </is>
      </c>
    </row>
    <row r="47">
      <c r="A47" s="14" t="inlineStr">
        <is>
          <t>Honda / Civic / Hatchback</t>
        </is>
      </c>
      <c r="B47" s="14" t="inlineStr">
        <is>
          <t>两厢车</t>
        </is>
      </c>
      <c r="C47" s="14" t="inlineStr">
        <is>
          <t>普通</t>
        </is>
      </c>
      <c r="D47" s="14" t="n">
        <v>7</v>
      </c>
      <c r="E47" s="18" t="n">
        <v>3034651</v>
      </c>
      <c r="F47" s="14" t="inlineStr">
        <is>
          <t>2L+:1,136,616, 2M:1,582,231, 2XL:315,804</t>
        </is>
      </c>
      <c r="G47" s="14" t="inlineStr">
        <is>
          <t>2M</t>
        </is>
      </c>
      <c r="H47" s="28" t="n">
        <v>0.5213881266742041</v>
      </c>
      <c r="I47" s="19" t="inlineStr">
        <is>
          <t>保留多尺码；代际尺寸差异较大</t>
        </is>
      </c>
    </row>
    <row r="48">
      <c r="A48" s="20" t="inlineStr">
        <is>
          <t>Oldsmobile / 88 / Coupe [W]</t>
        </is>
      </c>
      <c r="B48" s="20" t="inlineStr">
        <is>
          <t>跑车</t>
        </is>
      </c>
      <c r="C48" s="20" t="inlineStr">
        <is>
          <t>W</t>
        </is>
      </c>
      <c r="D48" s="20" t="n">
        <v>9</v>
      </c>
      <c r="E48" s="23" t="n">
        <v>2999590</v>
      </c>
      <c r="F48" s="20" t="inlineStr">
        <is>
          <t>3WX:285,000, 3WXXL:1,039,584, 3WXXXL:1,675,006</t>
        </is>
      </c>
      <c r="G48" s="20" t="inlineStr">
        <is>
          <t>3WXXXL</t>
        </is>
      </c>
      <c r="H48" s="29" t="n">
        <v>0.5584116495921109</v>
      </c>
      <c r="I48" s="24" t="inlineStr">
        <is>
          <t>保留多尺码；代际尺寸差异较大</t>
        </is>
      </c>
    </row>
    <row r="49">
      <c r="A49" s="14" t="inlineStr">
        <is>
          <t>Honda / Pilot / SUV</t>
        </is>
      </c>
      <c r="B49" s="14" t="inlineStr">
        <is>
          <t>越野车</t>
        </is>
      </c>
      <c r="C49" s="14" t="inlineStr">
        <is>
          <t>普通</t>
        </is>
      </c>
      <c r="D49" s="14" t="n">
        <v>4</v>
      </c>
      <c r="E49" s="18" t="n">
        <v>2991841</v>
      </c>
      <c r="F49" s="14" t="inlineStr">
        <is>
          <t>YL:754,474, YXL:1,798,232, YXXL:439,135</t>
        </is>
      </c>
      <c r="G49" s="14" t="inlineStr">
        <is>
          <t>YXL</t>
        </is>
      </c>
      <c r="H49" s="28" t="n">
        <v>0.6010453095602339</v>
      </c>
      <c r="I49" s="19" t="inlineStr">
        <is>
          <t>边界代际手动归主组</t>
        </is>
      </c>
    </row>
    <row r="50">
      <c r="A50" s="20" t="inlineStr">
        <is>
          <t>Buick / Regal / Coupe [W]</t>
        </is>
      </c>
      <c r="B50" s="20" t="inlineStr">
        <is>
          <t>跑车</t>
        </is>
      </c>
      <c r="C50" s="20" t="inlineStr">
        <is>
          <t>W</t>
        </is>
      </c>
      <c r="D50" s="20" t="n">
        <v>3</v>
      </c>
      <c r="E50" s="23" t="n">
        <v>2938968</v>
      </c>
      <c r="F50" s="20" t="inlineStr">
        <is>
          <t>3WX:571,000, 3WXXL:2,367,968</t>
        </is>
      </c>
      <c r="G50" s="20" t="inlineStr">
        <is>
          <t>3WXXL</t>
        </is>
      </c>
      <c r="H50" s="29" t="n">
        <v>0.8057141146143817</v>
      </c>
      <c r="I50" s="24" t="inlineStr">
        <is>
          <t>边界代际手动归主组</t>
        </is>
      </c>
    </row>
    <row r="51">
      <c r="A51" s="14" t="inlineStr">
        <is>
          <t>Mercury / Grand Marquis / Sedan [W]</t>
        </is>
      </c>
      <c r="B51" s="14" t="inlineStr">
        <is>
          <t>三厢车</t>
        </is>
      </c>
      <c r="C51" s="14" t="inlineStr">
        <is>
          <t>W</t>
        </is>
      </c>
      <c r="D51" s="14" t="n">
        <v>5</v>
      </c>
      <c r="E51" s="18" t="n">
        <v>2910938</v>
      </c>
      <c r="F51" s="14" t="inlineStr">
        <is>
          <t>3WXXL:2,736,938, 3WXXXL:174,000</t>
        </is>
      </c>
      <c r="G51" s="14" t="inlineStr">
        <is>
          <t>3WXXL</t>
        </is>
      </c>
      <c r="H51" s="28" t="n">
        <v>0.9402254531013714</v>
      </c>
      <c r="I51" s="19" t="inlineStr">
        <is>
          <t>边界代际手动归主组</t>
        </is>
      </c>
    </row>
    <row r="52">
      <c r="A52" s="20" t="inlineStr">
        <is>
          <t>Ford / Expedition / SUV</t>
        </is>
      </c>
      <c r="B52" s="20" t="inlineStr">
        <is>
          <t>越野车</t>
        </is>
      </c>
      <c r="C52" s="20" t="inlineStr">
        <is>
          <t>普通</t>
        </is>
      </c>
      <c r="D52" s="20" t="n">
        <v>5</v>
      </c>
      <c r="E52" s="23" t="n">
        <v>2903158</v>
      </c>
      <c r="F52" s="20" t="inlineStr">
        <is>
          <t>YXXL:2,012,816, YXXL-545:312,158, YXXL-585:578,184</t>
        </is>
      </c>
      <c r="G52" s="20" t="inlineStr">
        <is>
          <t>YXXL</t>
        </is>
      </c>
      <c r="H52" s="29" t="n">
        <v>0.6933194817505627</v>
      </c>
      <c r="I52" s="24" t="inlineStr">
        <is>
          <t>边界代际手动归主组</t>
        </is>
      </c>
    </row>
    <row r="53">
      <c r="A53" s="14" t="inlineStr">
        <is>
          <t>Lexus / RX / SUV</t>
        </is>
      </c>
      <c r="B53" s="14" t="inlineStr">
        <is>
          <t>越野车</t>
        </is>
      </c>
      <c r="C53" s="14" t="inlineStr">
        <is>
          <t>普通</t>
        </is>
      </c>
      <c r="D53" s="14" t="n">
        <v>5</v>
      </c>
      <c r="E53" s="18" t="n">
        <v>2879501</v>
      </c>
      <c r="F53" s="14" t="inlineStr">
        <is>
          <t>YL:1,195,601, YM:475,000, YXL:1,208,900</t>
        </is>
      </c>
      <c r="G53" s="14" t="inlineStr">
        <is>
          <t>YXL</t>
        </is>
      </c>
      <c r="H53" s="28" t="n">
        <v>0.4198296857684717</v>
      </c>
      <c r="I53" s="19" t="inlineStr">
        <is>
          <t>保留多尺码；代际尺寸差异较大</t>
        </is>
      </c>
    </row>
    <row r="54">
      <c r="A54" s="20" t="inlineStr">
        <is>
          <t>Ford / Mustang / Convertible</t>
        </is>
      </c>
      <c r="B54" s="20" t="inlineStr">
        <is>
          <t>跑车</t>
        </is>
      </c>
      <c r="C54" s="20" t="inlineStr">
        <is>
          <t>普通</t>
        </is>
      </c>
      <c r="D54" s="20" t="n">
        <v>6</v>
      </c>
      <c r="E54" s="23" t="n">
        <v>2825988</v>
      </c>
      <c r="F54" s="20" t="inlineStr">
        <is>
          <t>3L:1,705,863, 3XL:1,120,125</t>
        </is>
      </c>
      <c r="G54" s="20" t="inlineStr">
        <is>
          <t>3L</t>
        </is>
      </c>
      <c r="H54" s="29" t="n">
        <v>0.6036341980220723</v>
      </c>
      <c r="I54" s="24" t="inlineStr">
        <is>
          <t>边界代际手动归主组</t>
        </is>
      </c>
    </row>
    <row r="55">
      <c r="A55" s="14" t="inlineStr">
        <is>
          <t>Ford / Taurus / Sedan</t>
        </is>
      </c>
      <c r="B55" s="14" t="inlineStr">
        <is>
          <t>三厢车</t>
        </is>
      </c>
      <c r="C55" s="14" t="inlineStr">
        <is>
          <t>普通</t>
        </is>
      </c>
      <c r="D55" s="14" t="n">
        <v>6</v>
      </c>
      <c r="E55" s="18" t="n">
        <v>2804854</v>
      </c>
      <c r="F55" s="14" t="inlineStr">
        <is>
          <t>3XL:2,706,570, 3XL+:98,284</t>
        </is>
      </c>
      <c r="G55" s="14" t="inlineStr">
        <is>
          <t>3XL</t>
        </is>
      </c>
      <c r="H55" s="28" t="n">
        <v>0.9649593169555349</v>
      </c>
      <c r="I55" s="19" t="inlineStr">
        <is>
          <t>边界代际手动归主组</t>
        </is>
      </c>
    </row>
    <row r="56">
      <c r="A56" s="20" t="inlineStr">
        <is>
          <t>Ford / F-150 / Pickup (SuperCab/8)</t>
        </is>
      </c>
      <c r="B56" s="20" t="inlineStr">
        <is>
          <t>皮卡</t>
        </is>
      </c>
      <c r="C56" s="20" t="inlineStr">
        <is>
          <t>普通</t>
        </is>
      </c>
      <c r="D56" s="20" t="n">
        <v>5</v>
      </c>
      <c r="E56" s="23" t="n">
        <v>2790075</v>
      </c>
      <c r="F56" s="20" t="inlineStr">
        <is>
          <t>PK-XL:1,276,099, PK-XXL:1,513,976</t>
        </is>
      </c>
      <c r="G56" s="20" t="inlineStr">
        <is>
          <t>PK-XXL</t>
        </is>
      </c>
      <c r="H56" s="29" t="n">
        <v>0.5426291407937063</v>
      </c>
      <c r="I56" s="24" t="inlineStr">
        <is>
          <t>保留多尺码；代际尺寸差异较大</t>
        </is>
      </c>
    </row>
    <row r="57">
      <c r="A57" s="14" t="inlineStr">
        <is>
          <t>Chevrolet / Suburban / SUV</t>
        </is>
      </c>
      <c r="B57" s="14" t="inlineStr">
        <is>
          <t>越野车</t>
        </is>
      </c>
      <c r="C57" s="14" t="inlineStr">
        <is>
          <t>普通</t>
        </is>
      </c>
      <c r="D57" s="14" t="n">
        <v>12</v>
      </c>
      <c r="E57" s="18" t="n">
        <v>2614496</v>
      </c>
      <c r="F57" s="14" t="inlineStr">
        <is>
          <t>YL:123,000, YM:35,000, YXXL:14,500, YXXL-545:0, YXXL-585:2,441,996</t>
        </is>
      </c>
      <c r="G57" s="14" t="inlineStr">
        <is>
          <t>YXXL-585</t>
        </is>
      </c>
      <c r="H57" s="28" t="n">
        <v>0.9340217005495515</v>
      </c>
      <c r="I57" s="19" t="inlineStr">
        <is>
          <t>边界代际手动归主组</t>
        </is>
      </c>
    </row>
    <row r="58">
      <c r="A58" s="20" t="inlineStr">
        <is>
          <t>Jeep / Wrangler / SUV</t>
        </is>
      </c>
      <c r="B58" s="20" t="inlineStr">
        <is>
          <t>越野车</t>
        </is>
      </c>
      <c r="C58" s="20" t="inlineStr">
        <is>
          <t>普通</t>
        </is>
      </c>
      <c r="D58" s="20" t="n">
        <v>4</v>
      </c>
      <c r="E58" s="23" t="n">
        <v>2364747</v>
      </c>
      <c r="F58" s="20" t="inlineStr">
        <is>
          <t>:1,445,710, YL:0, YM:919,037</t>
        </is>
      </c>
      <c r="G58" s="20" t="inlineStr">
        <is>
          <t>YM</t>
        </is>
      </c>
      <c r="H58" s="29" t="n">
        <v>0.3886407298539759</v>
      </c>
      <c r="I58" s="24" t="inlineStr">
        <is>
          <t>保留多尺码；代际尺寸差异较大</t>
        </is>
      </c>
    </row>
    <row r="59">
      <c r="A59" s="14" t="inlineStr">
        <is>
          <t>Pontiac / Grand Prix / Coupe [W]</t>
        </is>
      </c>
      <c r="B59" s="14" t="inlineStr">
        <is>
          <t>跑车</t>
        </is>
      </c>
      <c r="C59" s="14" t="inlineStr">
        <is>
          <t>W</t>
        </is>
      </c>
      <c r="D59" s="14" t="n">
        <v>5</v>
      </c>
      <c r="E59" s="18" t="n">
        <v>2303806</v>
      </c>
      <c r="F59" s="14" t="inlineStr">
        <is>
          <t>3WXXL:2,086,230, 3WXXXL:217,576</t>
        </is>
      </c>
      <c r="G59" s="14" t="inlineStr">
        <is>
          <t>3WXXL</t>
        </is>
      </c>
      <c r="H59" s="28" t="n">
        <v>0.9055580200763432</v>
      </c>
      <c r="I59" s="19" t="inlineStr">
        <is>
          <t>边界代际手动归主组</t>
        </is>
      </c>
    </row>
    <row r="60">
      <c r="A60" s="20" t="inlineStr">
        <is>
          <t>Dodge / Durango / SUV</t>
        </is>
      </c>
      <c r="B60" s="20" t="inlineStr">
        <is>
          <t>越野车</t>
        </is>
      </c>
      <c r="C60" s="20" t="inlineStr">
        <is>
          <t>普通</t>
        </is>
      </c>
      <c r="D60" s="20" t="n">
        <v>3</v>
      </c>
      <c r="E60" s="23" t="n">
        <v>2267997</v>
      </c>
      <c r="F60" s="20" t="inlineStr">
        <is>
          <t>YXL:866,064, YXXL:1,401,933</t>
        </is>
      </c>
      <c r="G60" s="20" t="inlineStr">
        <is>
          <t>YXXL</t>
        </is>
      </c>
      <c r="H60" s="29" t="n">
        <v>0.6181370610278585</v>
      </c>
      <c r="I60" s="24" t="inlineStr">
        <is>
          <t>边界代际手动归主组</t>
        </is>
      </c>
    </row>
    <row r="61">
      <c r="A61" s="14" t="inlineStr">
        <is>
          <t>Hyundai / Tucson / SUV</t>
        </is>
      </c>
      <c r="B61" s="14" t="inlineStr">
        <is>
          <t>越野车</t>
        </is>
      </c>
      <c r="C61" s="14" t="inlineStr">
        <is>
          <t>普通</t>
        </is>
      </c>
      <c r="D61" s="14" t="n">
        <v>4</v>
      </c>
      <c r="E61" s="18" t="n">
        <v>2251265</v>
      </c>
      <c r="F61" s="14" t="inlineStr">
        <is>
          <t>YL:276,840, YM:1,974,425</t>
        </is>
      </c>
      <c r="G61" s="14" t="inlineStr">
        <is>
          <t>YM</t>
        </is>
      </c>
      <c r="H61" s="28" t="n">
        <v>0.8770291369518914</v>
      </c>
      <c r="I61" s="19" t="inlineStr">
        <is>
          <t>边界代际手动归主组</t>
        </is>
      </c>
    </row>
    <row r="62">
      <c r="A62" s="20" t="inlineStr">
        <is>
          <t>Chrysler / Town &amp; Country / MPV</t>
        </is>
      </c>
      <c r="B62" s="20" t="inlineStr">
        <is>
          <t>两厢车</t>
        </is>
      </c>
      <c r="C62" s="20" t="inlineStr">
        <is>
          <t>普通</t>
        </is>
      </c>
      <c r="D62" s="20" t="n">
        <v>5</v>
      </c>
      <c r="E62" s="23" t="n">
        <v>2173648</v>
      </c>
      <c r="F62" s="20" t="inlineStr">
        <is>
          <t>2XL:50,000, 2XL+:1,188,941, 2XXL:934,707</t>
        </is>
      </c>
      <c r="G62" s="20" t="inlineStr">
        <is>
          <t>2XL+</t>
        </is>
      </c>
      <c r="H62" s="29" t="n">
        <v>0.5469795477464613</v>
      </c>
      <c r="I62" s="24" t="inlineStr">
        <is>
          <t>保留多尺码；代际尺寸差异较大</t>
        </is>
      </c>
    </row>
    <row r="63">
      <c r="A63" s="14" t="inlineStr">
        <is>
          <t>Toyota / Prius / Hatchback</t>
        </is>
      </c>
      <c r="B63" s="14" t="inlineStr">
        <is>
          <t>两厢车</t>
        </is>
      </c>
      <c r="C63" s="14" t="inlineStr">
        <is>
          <t>普通</t>
        </is>
      </c>
      <c r="D63" s="14" t="n">
        <v>4</v>
      </c>
      <c r="E63" s="18" t="n">
        <v>2168436</v>
      </c>
      <c r="F63" s="14" t="inlineStr">
        <is>
          <t>2L+:1,546,700, 2XL:621,736</t>
        </is>
      </c>
      <c r="G63" s="14" t="inlineStr">
        <is>
          <t>2L+</t>
        </is>
      </c>
      <c r="H63" s="28" t="n">
        <v>0.7132790638045117</v>
      </c>
      <c r="I63" s="19" t="inlineStr">
        <is>
          <t>边界代际手动归主组</t>
        </is>
      </c>
    </row>
    <row r="64">
      <c r="A64" s="20" t="inlineStr">
        <is>
          <t>Subaru / Outback / Wagon</t>
        </is>
      </c>
      <c r="B64" s="20" t="inlineStr">
        <is>
          <t>两厢车</t>
        </is>
      </c>
      <c r="C64" s="20" t="inlineStr">
        <is>
          <t>普通</t>
        </is>
      </c>
      <c r="D64" s="20" t="n">
        <v>4</v>
      </c>
      <c r="E64" s="23" t="n">
        <v>2165195</v>
      </c>
      <c r="F64" s="20" t="inlineStr">
        <is>
          <t>2XL:2,000,195, 2XL+:165,000</t>
        </is>
      </c>
      <c r="G64" s="20" t="inlineStr">
        <is>
          <t>2XL</t>
        </is>
      </c>
      <c r="H64" s="29" t="n">
        <v>0.9237943926528558</v>
      </c>
      <c r="I64" s="24" t="inlineStr">
        <is>
          <t>边界代际手动归主组</t>
        </is>
      </c>
    </row>
    <row r="65">
      <c r="A65" s="14" t="inlineStr">
        <is>
          <t>Ford / F-100 / Pickup (Regular/8)</t>
        </is>
      </c>
      <c r="B65" s="14" t="inlineStr">
        <is>
          <t>皮卡</t>
        </is>
      </c>
      <c r="C65" s="14" t="inlineStr">
        <is>
          <t>普通</t>
        </is>
      </c>
      <c r="D65" s="14" t="n">
        <v>6</v>
      </c>
      <c r="E65" s="18" t="n">
        <v>2090000</v>
      </c>
      <c r="F65" s="14" t="inlineStr">
        <is>
          <t>PK-M:1,955,000, PK-M+:135,000</t>
        </is>
      </c>
      <c r="G65" s="14" t="inlineStr">
        <is>
          <t>PK-M</t>
        </is>
      </c>
      <c r="H65" s="28" t="n">
        <v>0.9354066985645934</v>
      </c>
      <c r="I65" s="19" t="inlineStr">
        <is>
          <t>边界代际手动归主组</t>
        </is>
      </c>
    </row>
    <row r="66">
      <c r="A66" s="20" t="inlineStr">
        <is>
          <t>Hyundai / Santa Fe / SUV</t>
        </is>
      </c>
      <c r="B66" s="20" t="inlineStr">
        <is>
          <t>越野车</t>
        </is>
      </c>
      <c r="C66" s="20" t="inlineStr">
        <is>
          <t>普通</t>
        </is>
      </c>
      <c r="D66" s="20" t="n">
        <v>5</v>
      </c>
      <c r="E66" s="23" t="n">
        <v>2078964</v>
      </c>
      <c r="F66" s="20" t="inlineStr">
        <is>
          <t>YL:1,667,100, YM:0, YXL:411,864</t>
        </is>
      </c>
      <c r="G66" s="20" t="inlineStr">
        <is>
          <t>YL</t>
        </is>
      </c>
      <c r="H66" s="29" t="n">
        <v>0.8018897874133463</v>
      </c>
      <c r="I66" s="24" t="inlineStr">
        <is>
          <t>边界代际手动归主组</t>
        </is>
      </c>
    </row>
    <row r="67">
      <c r="A67" s="14" t="inlineStr">
        <is>
          <t>Nissan / Pathfinder / SUV</t>
        </is>
      </c>
      <c r="B67" s="14" t="inlineStr">
        <is>
          <t>越野车</t>
        </is>
      </c>
      <c r="C67" s="14" t="inlineStr">
        <is>
          <t>普通</t>
        </is>
      </c>
      <c r="D67" s="14" t="n">
        <v>5</v>
      </c>
      <c r="E67" s="18" t="n">
        <v>2033816</v>
      </c>
      <c r="F67" s="14" t="inlineStr">
        <is>
          <t>YL:311,598, YM:645,000, YXL:42,621, YXXL:1,034,597</t>
        </is>
      </c>
      <c r="G67" s="14" t="inlineStr">
        <is>
          <t>YXXL</t>
        </is>
      </c>
      <c r="H67" s="28" t="n">
        <v>0.5086974436232187</v>
      </c>
      <c r="I67" s="19" t="inlineStr">
        <is>
          <t>保留多尺码；代际尺寸差异较大</t>
        </is>
      </c>
    </row>
    <row r="68">
      <c r="A68" s="20" t="inlineStr">
        <is>
          <t>Pontiac / Bonneville / Sedan [W]</t>
        </is>
      </c>
      <c r="B68" s="20" t="inlineStr">
        <is>
          <t>三厢车</t>
        </is>
      </c>
      <c r="C68" s="20" t="inlineStr">
        <is>
          <t>W</t>
        </is>
      </c>
      <c r="D68" s="20" t="n">
        <v>10</v>
      </c>
      <c r="E68" s="23" t="n">
        <v>2029632</v>
      </c>
      <c r="F68" s="20" t="inlineStr">
        <is>
          <t>3WXXL:1,696,633, 3WXXXL:332,999</t>
        </is>
      </c>
      <c r="G68" s="20" t="inlineStr">
        <is>
          <t>3WXXL</t>
        </is>
      </c>
      <c r="H68" s="29" t="n">
        <v>0.8359313412480686</v>
      </c>
      <c r="I68" s="24" t="inlineStr">
        <is>
          <t>边界代际手动归主组</t>
        </is>
      </c>
    </row>
    <row r="69">
      <c r="A69" s="14" t="inlineStr">
        <is>
          <t>Chevrolet / Trailblazer / SUV</t>
        </is>
      </c>
      <c r="B69" s="14" t="inlineStr">
        <is>
          <t>越野车</t>
        </is>
      </c>
      <c r="C69" s="14" t="inlineStr">
        <is>
          <t>普通</t>
        </is>
      </c>
      <c r="D69" s="14" t="n">
        <v>2</v>
      </c>
      <c r="E69" s="18" t="n">
        <v>2010492</v>
      </c>
      <c r="F69" s="14" t="inlineStr">
        <is>
          <t>YM:577,826, YXL:1,432,666</t>
        </is>
      </c>
      <c r="G69" s="14" t="inlineStr">
        <is>
          <t>YXL</t>
        </is>
      </c>
      <c r="H69" s="28" t="n">
        <v>0.7125947280566149</v>
      </c>
      <c r="I69" s="19" t="inlineStr">
        <is>
          <t>边界代际手动归主组</t>
        </is>
      </c>
    </row>
    <row r="70">
      <c r="A70" s="20" t="inlineStr">
        <is>
          <t>Chevrolet / Cavalier / Sedan</t>
        </is>
      </c>
      <c r="B70" s="20" t="inlineStr">
        <is>
          <t>三厢车</t>
        </is>
      </c>
      <c r="C70" s="20" t="inlineStr">
        <is>
          <t>普通</t>
        </is>
      </c>
      <c r="D70" s="20" t="n">
        <v>2</v>
      </c>
      <c r="E70" s="23" t="n">
        <v>1988532</v>
      </c>
      <c r="F70" s="20" t="inlineStr">
        <is>
          <t>3L:1,159,254, 3M:829,278</t>
        </is>
      </c>
      <c r="G70" s="20" t="inlineStr">
        <is>
          <t>3L</t>
        </is>
      </c>
      <c r="H70" s="29" t="n">
        <v>0.5829697485381176</v>
      </c>
      <c r="I70" s="24" t="inlineStr">
        <is>
          <t>保留多尺码；代际尺寸差异较大</t>
        </is>
      </c>
    </row>
    <row r="71">
      <c r="A71" s="14" t="inlineStr">
        <is>
          <t>Plymouth / Valiant / Coupe [W]</t>
        </is>
      </c>
      <c r="B71" s="14" t="inlineStr">
        <is>
          <t>跑车</t>
        </is>
      </c>
      <c r="C71" s="14" t="inlineStr">
        <is>
          <t>W</t>
        </is>
      </c>
      <c r="D71" s="14" t="n">
        <v>3</v>
      </c>
      <c r="E71" s="18" t="n">
        <v>1908070</v>
      </c>
      <c r="F71" s="14" t="inlineStr">
        <is>
          <t>3WX:1,150,319, 3WXXL:757,751</t>
        </is>
      </c>
      <c r="G71" s="14" t="inlineStr">
        <is>
          <t>3WX</t>
        </is>
      </c>
      <c r="H71" s="28" t="n">
        <v>0.6028704397637403</v>
      </c>
      <c r="I71" s="19" t="inlineStr">
        <is>
          <t>边界代际手动归主组</t>
        </is>
      </c>
    </row>
    <row r="72">
      <c r="A72" s="20" t="inlineStr">
        <is>
          <t>Kia / Sorento / SUV</t>
        </is>
      </c>
      <c r="B72" s="20" t="inlineStr">
        <is>
          <t>越野车</t>
        </is>
      </c>
      <c r="C72" s="20" t="inlineStr">
        <is>
          <t>普通</t>
        </is>
      </c>
      <c r="D72" s="20" t="n">
        <v>4</v>
      </c>
      <c r="E72" s="23" t="n">
        <v>1906289</v>
      </c>
      <c r="F72" s="20" t="inlineStr">
        <is>
          <t>YL:1,623,883, YM:282,406</t>
        </is>
      </c>
      <c r="G72" s="20" t="inlineStr">
        <is>
          <t>YL</t>
        </is>
      </c>
      <c r="H72" s="29" t="n">
        <v>0.8518556210522119</v>
      </c>
      <c r="I72" s="24" t="inlineStr">
        <is>
          <t>边界代际手动归主组</t>
        </is>
      </c>
    </row>
    <row r="73">
      <c r="A73" s="14" t="inlineStr">
        <is>
          <t>Ford / Thunderbird / Coupe [W]</t>
        </is>
      </c>
      <c r="B73" s="14" t="inlineStr">
        <is>
          <t>跑车</t>
        </is>
      </c>
      <c r="C73" s="14" t="inlineStr">
        <is>
          <t>W</t>
        </is>
      </c>
      <c r="D73" s="14" t="n">
        <v>7</v>
      </c>
      <c r="E73" s="18" t="n">
        <v>1888854</v>
      </c>
      <c r="F73" s="14" t="inlineStr">
        <is>
          <t>3WXXL:952,816, 3WXXXL:936,038</t>
        </is>
      </c>
      <c r="G73" s="14" t="inlineStr">
        <is>
          <t>3WXXL</t>
        </is>
      </c>
      <c r="H73" s="28" t="n">
        <v>0.5044413173278612</v>
      </c>
      <c r="I73" s="19" t="inlineStr">
        <is>
          <t>保留多尺码；代际尺寸差异较大</t>
        </is>
      </c>
    </row>
    <row r="74">
      <c r="A74" s="20" t="inlineStr">
        <is>
          <t>Chevrolet / C/K / Pickup [DRW] (DRW/Crew/8)</t>
        </is>
      </c>
      <c r="B74" s="20" t="inlineStr">
        <is>
          <t>皮卡</t>
        </is>
      </c>
      <c r="C74" s="20" t="inlineStr">
        <is>
          <t>DRW</t>
        </is>
      </c>
      <c r="D74" s="20" t="n">
        <v>2</v>
      </c>
      <c r="E74" s="23" t="n">
        <v>1874888</v>
      </c>
      <c r="F74" s="20" t="inlineStr">
        <is>
          <t>PK-WXXL:436,888, PK-XXL:1,438,000</t>
        </is>
      </c>
      <c r="G74" s="20" t="inlineStr">
        <is>
          <t>PK-XXL</t>
        </is>
      </c>
      <c r="H74" s="29" t="n">
        <v>0.7669791475544139</v>
      </c>
      <c r="I74" s="24" t="inlineStr">
        <is>
          <t>边界代际手动归主组</t>
        </is>
      </c>
    </row>
    <row r="75">
      <c r="A75" s="14" t="inlineStr">
        <is>
          <t>Chevrolet / Cavalier / Coupe</t>
        </is>
      </c>
      <c r="B75" s="14" t="inlineStr">
        <is>
          <t>跑车</t>
        </is>
      </c>
      <c r="C75" s="14" t="inlineStr">
        <is>
          <t>普通</t>
        </is>
      </c>
      <c r="D75" s="14" t="n">
        <v>2</v>
      </c>
      <c r="E75" s="18" t="n">
        <v>1861021</v>
      </c>
      <c r="F75" s="14" t="inlineStr">
        <is>
          <t>3L:1,012,720, 3M:848,301</t>
        </is>
      </c>
      <c r="G75" s="14" t="inlineStr">
        <is>
          <t>3L</t>
        </is>
      </c>
      <c r="H75" s="28" t="n">
        <v>0.5441744074892223</v>
      </c>
      <c r="I75" s="19" t="inlineStr">
        <is>
          <t>保留多尺码；代际尺寸差异较大</t>
        </is>
      </c>
    </row>
    <row r="76">
      <c r="A76" s="20" t="inlineStr">
        <is>
          <t>Toyota / Corolla / Wagon</t>
        </is>
      </c>
      <c r="B76" s="20" t="inlineStr">
        <is>
          <t>两厢车</t>
        </is>
      </c>
      <c r="C76" s="20" t="inlineStr">
        <is>
          <t>普通</t>
        </is>
      </c>
      <c r="D76" s="20" t="n">
        <v>5</v>
      </c>
      <c r="E76" s="23" t="n">
        <v>1852281</v>
      </c>
      <c r="F76" s="20" t="inlineStr">
        <is>
          <t>2L+:1,638,851, 2M:213,430</t>
        </is>
      </c>
      <c r="G76" s="20" t="inlineStr">
        <is>
          <t>2L+</t>
        </is>
      </c>
      <c r="H76" s="29" t="n">
        <v>0.8847745023568239</v>
      </c>
      <c r="I76" s="24" t="inlineStr">
        <is>
          <t>边界代际手动归主组</t>
        </is>
      </c>
    </row>
    <row r="77">
      <c r="A77" s="14" t="inlineStr">
        <is>
          <t>Lexus / ES / Sedan</t>
        </is>
      </c>
      <c r="B77" s="14" t="inlineStr">
        <is>
          <t>三厢车</t>
        </is>
      </c>
      <c r="C77" s="14" t="inlineStr">
        <is>
          <t>普通</t>
        </is>
      </c>
      <c r="D77" s="14" t="n">
        <v>8</v>
      </c>
      <c r="E77" s="18" t="n">
        <v>1832273</v>
      </c>
      <c r="F77" s="14" t="inlineStr">
        <is>
          <t>3L:22,476, 3XL:1,805,901, 3XL+:3,896</t>
        </is>
      </c>
      <c r="G77" s="14" t="inlineStr">
        <is>
          <t>3XL</t>
        </is>
      </c>
      <c r="H77" s="28" t="n">
        <v>0.9856069483095586</v>
      </c>
      <c r="I77" s="19" t="inlineStr">
        <is>
          <t>边界代际手动归主组</t>
        </is>
      </c>
    </row>
    <row r="78">
      <c r="A78" s="20" t="inlineStr">
        <is>
          <t>Chevrolet / Silverado 1500 / Pickup (Regular/6.6)</t>
        </is>
      </c>
      <c r="B78" s="20" t="inlineStr">
        <is>
          <t>皮卡</t>
        </is>
      </c>
      <c r="C78" s="20" t="inlineStr">
        <is>
          <t>普通</t>
        </is>
      </c>
      <c r="D78" s="20" t="n">
        <v>3</v>
      </c>
      <c r="E78" s="23" t="n">
        <v>1789840</v>
      </c>
      <c r="F78" s="20" t="inlineStr">
        <is>
          <t>PK-M:1,342,386, PK-M+:447,454</t>
        </is>
      </c>
      <c r="G78" s="20" t="inlineStr">
        <is>
          <t>PK-M</t>
        </is>
      </c>
      <c r="H78" s="29" t="n">
        <v>0.7500033522549502</v>
      </c>
      <c r="I78" s="24" t="inlineStr">
        <is>
          <t>边界代际手动归主组</t>
        </is>
      </c>
    </row>
    <row r="79">
      <c r="A79" s="14" t="inlineStr">
        <is>
          <t>Mazda / CX-5 / SUV</t>
        </is>
      </c>
      <c r="B79" s="14" t="inlineStr">
        <is>
          <t>越野车</t>
        </is>
      </c>
      <c r="C79" s="14" t="inlineStr">
        <is>
          <t>普通</t>
        </is>
      </c>
      <c r="D79" s="14" t="n">
        <v>3</v>
      </c>
      <c r="E79" s="18" t="n">
        <v>1788465</v>
      </c>
      <c r="F79" s="14" t="inlineStr">
        <is>
          <t>YL:62,691, YM:1,725,774</t>
        </is>
      </c>
      <c r="G79" s="14" t="inlineStr">
        <is>
          <t>YM</t>
        </is>
      </c>
      <c r="H79" s="28" t="n">
        <v>0.9649470355863827</v>
      </c>
      <c r="I79" s="19" t="inlineStr">
        <is>
          <t>边界代际手动归主组</t>
        </is>
      </c>
    </row>
    <row r="80">
      <c r="A80" s="20" t="inlineStr">
        <is>
          <t>Kia / Sportage / SUV</t>
        </is>
      </c>
      <c r="B80" s="20" t="inlineStr">
        <is>
          <t>越野车</t>
        </is>
      </c>
      <c r="C80" s="20" t="inlineStr">
        <is>
          <t>普通</t>
        </is>
      </c>
      <c r="D80" s="20" t="n">
        <v>5</v>
      </c>
      <c r="E80" s="23" t="n">
        <v>1733778</v>
      </c>
      <c r="F80" s="20" t="inlineStr">
        <is>
          <t>:0, YL:675,520, YM:1,058,258</t>
        </is>
      </c>
      <c r="G80" s="20" t="inlineStr">
        <is>
          <t>YM</t>
        </is>
      </c>
      <c r="H80" s="29" t="n">
        <v>0.6103768763936329</v>
      </c>
      <c r="I80" s="24" t="inlineStr">
        <is>
          <t>边界代际手动归主组</t>
        </is>
      </c>
    </row>
    <row r="81">
      <c r="A81" s="14" t="inlineStr">
        <is>
          <t>Lincoln / Town Car / Sedan [W]</t>
        </is>
      </c>
      <c r="B81" s="14" t="inlineStr">
        <is>
          <t>三厢车</t>
        </is>
      </c>
      <c r="C81" s="14" t="inlineStr">
        <is>
          <t>W</t>
        </is>
      </c>
      <c r="D81" s="14" t="n">
        <v>3</v>
      </c>
      <c r="E81" s="18" t="n">
        <v>1720398</v>
      </c>
      <c r="F81" s="14" t="inlineStr">
        <is>
          <t>3WXXL:420,655, 3WXXXL:1,299,743</t>
        </is>
      </c>
      <c r="G81" s="14" t="inlineStr">
        <is>
          <t>3WXXXL</t>
        </is>
      </c>
      <c r="H81" s="28" t="n">
        <v>0.7554897180768636</v>
      </c>
      <c r="I81" s="19" t="inlineStr">
        <is>
          <t>边界代际手动归主组</t>
        </is>
      </c>
    </row>
    <row r="82">
      <c r="A82" s="20" t="inlineStr">
        <is>
          <t>Ram / 1500 / Pickup (Crew/5.6)</t>
        </is>
      </c>
      <c r="B82" s="20" t="inlineStr">
        <is>
          <t>皮卡</t>
        </is>
      </c>
      <c r="C82" s="20" t="inlineStr">
        <is>
          <t>普通</t>
        </is>
      </c>
      <c r="D82" s="20" t="n">
        <v>2</v>
      </c>
      <c r="E82" s="23" t="n">
        <v>1701995</v>
      </c>
      <c r="F82" s="20" t="inlineStr">
        <is>
          <t>PK-L:642,371, PK-XL:1,059,624</t>
        </is>
      </c>
      <c r="G82" s="20" t="inlineStr">
        <is>
          <t>PK-XL</t>
        </is>
      </c>
      <c r="H82" s="29" t="n">
        <v>0.6225776221434258</v>
      </c>
      <c r="I82" s="24" t="inlineStr">
        <is>
          <t>边界代际手动归主组</t>
        </is>
      </c>
    </row>
    <row r="83">
      <c r="A83" s="14" t="inlineStr">
        <is>
          <t>GMC / Yukon / SUV</t>
        </is>
      </c>
      <c r="B83" s="14" t="inlineStr">
        <is>
          <t>越野车</t>
        </is>
      </c>
      <c r="C83" s="14" t="inlineStr">
        <is>
          <t>普通</t>
        </is>
      </c>
      <c r="D83" s="14" t="n">
        <v>5</v>
      </c>
      <c r="E83" s="18" t="n">
        <v>1671356</v>
      </c>
      <c r="F83" s="14" t="inlineStr">
        <is>
          <t>YL:0, YXXL:1,153,836, YXXL-545:517,520</t>
        </is>
      </c>
      <c r="G83" s="14" t="inlineStr">
        <is>
          <t>YXXL</t>
        </is>
      </c>
      <c r="H83" s="28" t="n">
        <v>0.6903592053398557</v>
      </c>
      <c r="I83" s="19" t="inlineStr">
        <is>
          <t>边界代际手动归主组</t>
        </is>
      </c>
    </row>
    <row r="84">
      <c r="A84" s="20" t="inlineStr">
        <is>
          <t>Dodge / Charger / Sedan</t>
        </is>
      </c>
      <c r="B84" s="20" t="inlineStr">
        <is>
          <t>三厢车</t>
        </is>
      </c>
      <c r="C84" s="20" t="inlineStr">
        <is>
          <t>普通</t>
        </is>
      </c>
      <c r="D84" s="20" t="n">
        <v>3</v>
      </c>
      <c r="E84" s="23" t="n">
        <v>1574626</v>
      </c>
      <c r="F84" s="20" t="inlineStr">
        <is>
          <t>3XL:746,948, 3XL+:812,021, 3XXL:15,657</t>
        </is>
      </c>
      <c r="G84" s="20" t="inlineStr">
        <is>
          <t>3XL+</t>
        </is>
      </c>
      <c r="H84" s="29" t="n">
        <v>0.5156913451194125</v>
      </c>
      <c r="I84" s="24" t="inlineStr">
        <is>
          <t>保留多尺码；代际尺寸差异较大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8.4" customWidth="1" min="4" max="4"/>
    <col width="12" customWidth="1" min="5" max="5"/>
    <col width="8" customWidth="1" min="6" max="6"/>
    <col width="8" customWidth="1" min="7" max="7"/>
    <col width="10" customWidth="1" min="8" max="8"/>
    <col width="11.6" customWidth="1" min="9" max="9"/>
    <col width="8" customWidth="1" min="10" max="10"/>
    <col width="10" customWidth="1" min="11" max="11"/>
    <col width="18" customWidth="1" min="12" max="12"/>
  </cols>
  <sheetData>
    <row r="1" ht="32" customHeight="1">
      <c r="A1" s="1" t="inlineStr">
        <is>
          <t>“尺码”工作表 A:I 规则快照</t>
        </is>
      </c>
    </row>
    <row r="2" ht="28" customHeight="1">
      <c r="A2" s="2" t="inlineStr">
        <is>
          <t>源表不做修改；建议列仅记录本次评估结论。参考插片普通/W分界 120 保持不变。</t>
        </is>
      </c>
    </row>
    <row r="3"/>
    <row r="4" ht="32" customHeight="1">
      <c r="A4" s="13" t="inlineStr">
        <is>
          <t>源行号</t>
        </is>
      </c>
      <c r="B4" s="13" t="inlineStr">
        <is>
          <t>逻辑尺码</t>
        </is>
      </c>
      <c r="C4" s="13" t="inlineStr">
        <is>
          <t>内部尺码</t>
        </is>
      </c>
      <c r="D4" s="13" t="inlineStr">
        <is>
          <t>档位序号</t>
        </is>
      </c>
      <c r="E4" s="13" t="inlineStr">
        <is>
          <t>分类</t>
        </is>
      </c>
      <c r="F4" s="13" t="inlineStr">
        <is>
          <t>CAB</t>
        </is>
      </c>
      <c r="G4" s="13" t="inlineStr">
        <is>
          <t>版本</t>
        </is>
      </c>
      <c r="H4" s="13" t="inlineStr">
        <is>
          <t>现行长上限</t>
        </is>
      </c>
      <c r="I4" s="13" t="inlineStr">
        <is>
          <t>参考插片上限</t>
        </is>
      </c>
      <c r="J4" s="13" t="inlineStr">
        <is>
          <t>使用</t>
        </is>
      </c>
      <c r="K4" s="13" t="inlineStr">
        <is>
          <t>建议长上限</t>
        </is>
      </c>
      <c r="L4" s="13" t="inlineStr">
        <is>
          <t>建议</t>
        </is>
      </c>
    </row>
    <row r="5">
      <c r="A5" s="14" t="n">
        <v>2</v>
      </c>
      <c r="B5" s="14" t="inlineStr">
        <is>
          <t>2S</t>
        </is>
      </c>
      <c r="C5" s="14" t="inlineStr">
        <is>
          <t>2S</t>
        </is>
      </c>
      <c r="D5" s="14" t="n">
        <v>0</v>
      </c>
      <c r="E5" s="14" t="inlineStr">
        <is>
          <t>两厢车</t>
        </is>
      </c>
      <c r="F5" s="14" t="n"/>
      <c r="G5" s="14" t="n"/>
      <c r="H5" s="15" t="n">
        <v>3635</v>
      </c>
      <c r="I5" s="15" t="n">
        <v>120</v>
      </c>
      <c r="J5" s="14" t="inlineStr">
        <is>
          <t>y</t>
        </is>
      </c>
      <c r="K5" s="15" t="n">
        <v>3635</v>
      </c>
      <c r="L5" s="19" t="inlineStr">
        <is>
          <t>保持</t>
        </is>
      </c>
    </row>
    <row r="6">
      <c r="A6" s="20" t="n">
        <v>3</v>
      </c>
      <c r="B6" s="20" t="inlineStr">
        <is>
          <t>2M</t>
        </is>
      </c>
      <c r="C6" s="20" t="inlineStr">
        <is>
          <t>2M</t>
        </is>
      </c>
      <c r="D6" s="20" t="n">
        <v>1</v>
      </c>
      <c r="E6" s="20" t="inlineStr">
        <is>
          <t>两厢车</t>
        </is>
      </c>
      <c r="F6" s="20" t="n"/>
      <c r="G6" s="20" t="n"/>
      <c r="H6" s="21" t="n">
        <v>4173</v>
      </c>
      <c r="I6" s="21" t="n">
        <v>120</v>
      </c>
      <c r="J6" s="20" t="inlineStr">
        <is>
          <t>y</t>
        </is>
      </c>
      <c r="K6" s="21" t="n">
        <v>4173</v>
      </c>
      <c r="L6" s="24" t="inlineStr">
        <is>
          <t>保持</t>
        </is>
      </c>
    </row>
    <row r="7">
      <c r="A7" s="14" t="n">
        <v>4</v>
      </c>
      <c r="B7" s="14" t="inlineStr">
        <is>
          <t>2L+</t>
        </is>
      </c>
      <c r="C7" s="14" t="inlineStr">
        <is>
          <t>2L+</t>
        </is>
      </c>
      <c r="D7" s="14" t="n">
        <v>2</v>
      </c>
      <c r="E7" s="14" t="inlineStr">
        <is>
          <t>两厢车</t>
        </is>
      </c>
      <c r="F7" s="14" t="n"/>
      <c r="G7" s="14" t="n"/>
      <c r="H7" s="15" t="n">
        <v>4557</v>
      </c>
      <c r="I7" s="15" t="n">
        <v>120</v>
      </c>
      <c r="J7" s="14" t="inlineStr">
        <is>
          <t>y</t>
        </is>
      </c>
      <c r="K7" s="15" t="n">
        <v>4557</v>
      </c>
      <c r="L7" s="19" t="inlineStr">
        <is>
          <t>保持</t>
        </is>
      </c>
    </row>
    <row r="8">
      <c r="A8" s="20" t="n">
        <v>5</v>
      </c>
      <c r="B8" s="20" t="inlineStr">
        <is>
          <t>2XL</t>
        </is>
      </c>
      <c r="C8" s="20" t="inlineStr">
        <is>
          <t>2XL</t>
        </is>
      </c>
      <c r="D8" s="20" t="n">
        <v>3</v>
      </c>
      <c r="E8" s="20" t="inlineStr">
        <is>
          <t>两厢车</t>
        </is>
      </c>
      <c r="F8" s="20" t="n"/>
      <c r="G8" s="20" t="n"/>
      <c r="H8" s="21" t="n">
        <v>4864</v>
      </c>
      <c r="I8" s="21" t="n">
        <v>120</v>
      </c>
      <c r="J8" s="20" t="inlineStr">
        <is>
          <t>y</t>
        </is>
      </c>
      <c r="K8" s="21" t="n">
        <v>4864</v>
      </c>
      <c r="L8" s="24" t="inlineStr">
        <is>
          <t>保持</t>
        </is>
      </c>
    </row>
    <row r="9">
      <c r="A9" s="14" t="n">
        <v>6</v>
      </c>
      <c r="B9" s="14" t="inlineStr">
        <is>
          <t>2XL+</t>
        </is>
      </c>
      <c r="C9" s="14" t="inlineStr">
        <is>
          <t>2XL+</t>
        </is>
      </c>
      <c r="D9" s="14" t="n">
        <v>4</v>
      </c>
      <c r="E9" s="14" t="inlineStr">
        <is>
          <t>两厢车</t>
        </is>
      </c>
      <c r="F9" s="14" t="n"/>
      <c r="G9" s="14" t="n"/>
      <c r="H9" s="15" t="n">
        <v>5120</v>
      </c>
      <c r="I9" s="15" t="n">
        <v>120</v>
      </c>
      <c r="J9" s="14" t="inlineStr">
        <is>
          <t>y</t>
        </is>
      </c>
      <c r="K9" s="15" t="n">
        <v>5120</v>
      </c>
      <c r="L9" s="19" t="inlineStr">
        <is>
          <t>保持</t>
        </is>
      </c>
    </row>
    <row r="10">
      <c r="A10" s="20" t="n">
        <v>7</v>
      </c>
      <c r="B10" s="20" t="inlineStr">
        <is>
          <t>2XXL</t>
        </is>
      </c>
      <c r="C10" s="20" t="inlineStr">
        <is>
          <t>2XXL</t>
        </is>
      </c>
      <c r="D10" s="20" t="n">
        <v>5</v>
      </c>
      <c r="E10" s="20" t="inlineStr">
        <is>
          <t>两厢车</t>
        </is>
      </c>
      <c r="F10" s="20" t="n"/>
      <c r="G10" s="20" t="n"/>
      <c r="H10" s="21" t="n">
        <v>5274</v>
      </c>
      <c r="I10" s="21" t="n">
        <v>120</v>
      </c>
      <c r="J10" s="20" t="inlineStr">
        <is>
          <t>y</t>
        </is>
      </c>
      <c r="K10" s="21" t="n">
        <v>5274</v>
      </c>
      <c r="L10" s="24" t="inlineStr">
        <is>
          <t>保持</t>
        </is>
      </c>
    </row>
    <row r="11">
      <c r="A11" s="14" t="n">
        <v>8</v>
      </c>
      <c r="B11" s="14" t="inlineStr">
        <is>
          <t>3S</t>
        </is>
      </c>
      <c r="C11" s="14" t="inlineStr">
        <is>
          <t>3S-0</t>
        </is>
      </c>
      <c r="D11" s="14" t="n">
        <v>10</v>
      </c>
      <c r="E11" s="14" t="inlineStr">
        <is>
          <t>跑车</t>
        </is>
      </c>
      <c r="F11" s="14" t="n"/>
      <c r="G11" s="14" t="n"/>
      <c r="H11" s="15" t="n">
        <v>4224</v>
      </c>
      <c r="I11" s="15" t="n">
        <v>120</v>
      </c>
      <c r="J11" s="14" t="inlineStr">
        <is>
          <t>y</t>
        </is>
      </c>
      <c r="K11" s="15" t="n">
        <v>4224</v>
      </c>
      <c r="L11" s="19" t="inlineStr">
        <is>
          <t>保持</t>
        </is>
      </c>
    </row>
    <row r="12">
      <c r="A12" s="20" t="n">
        <v>9</v>
      </c>
      <c r="B12" s="20" t="inlineStr">
        <is>
          <t>3M</t>
        </is>
      </c>
      <c r="C12" s="20" t="inlineStr">
        <is>
          <t>3M-0</t>
        </is>
      </c>
      <c r="D12" s="20" t="n">
        <v>11</v>
      </c>
      <c r="E12" s="20" t="inlineStr">
        <is>
          <t>跑车</t>
        </is>
      </c>
      <c r="F12" s="20" t="n"/>
      <c r="G12" s="20" t="n"/>
      <c r="H12" s="21" t="n">
        <v>4557</v>
      </c>
      <c r="I12" s="21" t="n">
        <v>120</v>
      </c>
      <c r="J12" s="20" t="inlineStr">
        <is>
          <t>y</t>
        </is>
      </c>
      <c r="K12" s="21" t="n">
        <v>4557</v>
      </c>
      <c r="L12" s="24" t="inlineStr">
        <is>
          <t>保持</t>
        </is>
      </c>
    </row>
    <row r="13">
      <c r="A13" s="14" t="n">
        <v>10</v>
      </c>
      <c r="B13" s="14" t="inlineStr">
        <is>
          <t>3L</t>
        </is>
      </c>
      <c r="C13" s="14" t="inlineStr">
        <is>
          <t>3L-0</t>
        </is>
      </c>
      <c r="D13" s="14" t="n">
        <v>12</v>
      </c>
      <c r="E13" s="14" t="inlineStr">
        <is>
          <t>跑车</t>
        </is>
      </c>
      <c r="F13" s="14" t="n"/>
      <c r="G13" s="14" t="n"/>
      <c r="H13" s="15" t="n">
        <v>4736</v>
      </c>
      <c r="I13" s="15" t="n">
        <v>120</v>
      </c>
      <c r="J13" s="14" t="inlineStr">
        <is>
          <t>y</t>
        </is>
      </c>
      <c r="K13" s="15" t="n">
        <v>4736</v>
      </c>
      <c r="L13" s="19" t="inlineStr">
        <is>
          <t>保持</t>
        </is>
      </c>
    </row>
    <row r="14">
      <c r="A14" s="20" t="n">
        <v>11</v>
      </c>
      <c r="B14" s="20" t="inlineStr">
        <is>
          <t>3XL</t>
        </is>
      </c>
      <c r="C14" s="20" t="inlineStr">
        <is>
          <t>3XL-0</t>
        </is>
      </c>
      <c r="D14" s="20" t="n">
        <v>13</v>
      </c>
      <c r="E14" s="20" t="inlineStr">
        <is>
          <t>跑车</t>
        </is>
      </c>
      <c r="F14" s="20" t="n"/>
      <c r="G14" s="20" t="n"/>
      <c r="H14" s="21" t="n">
        <v>5043</v>
      </c>
      <c r="I14" s="21" t="n">
        <v>120</v>
      </c>
      <c r="J14" s="20" t="inlineStr">
        <is>
          <t>y</t>
        </is>
      </c>
      <c r="K14" s="21" t="n">
        <v>5043</v>
      </c>
      <c r="L14" s="24" t="inlineStr">
        <is>
          <t>保持</t>
        </is>
      </c>
    </row>
    <row r="15">
      <c r="A15" s="14" t="n">
        <v>12</v>
      </c>
      <c r="B15" s="14" t="inlineStr">
        <is>
          <t>3XL+</t>
        </is>
      </c>
      <c r="C15" s="14" t="inlineStr">
        <is>
          <t>3XL+0</t>
        </is>
      </c>
      <c r="D15" s="14" t="n">
        <v>14</v>
      </c>
      <c r="E15" s="14" t="inlineStr">
        <is>
          <t>跑车</t>
        </is>
      </c>
      <c r="F15" s="14" t="n"/>
      <c r="G15" s="14" t="n"/>
      <c r="H15" s="15" t="n">
        <v>5197</v>
      </c>
      <c r="I15" s="15" t="n">
        <v>120</v>
      </c>
      <c r="J15" s="14" t="inlineStr">
        <is>
          <t>y</t>
        </is>
      </c>
      <c r="K15" s="15" t="n">
        <v>5197</v>
      </c>
      <c r="L15" s="19" t="inlineStr">
        <is>
          <t>保持</t>
        </is>
      </c>
    </row>
    <row r="16">
      <c r="A16" s="20" t="n">
        <v>13</v>
      </c>
      <c r="B16" s="20" t="inlineStr">
        <is>
          <t>3XXL</t>
        </is>
      </c>
      <c r="C16" s="20" t="inlineStr">
        <is>
          <t>3XXL-0</t>
        </is>
      </c>
      <c r="D16" s="20" t="n">
        <v>15</v>
      </c>
      <c r="E16" s="20" t="inlineStr">
        <is>
          <t>跑车</t>
        </is>
      </c>
      <c r="F16" s="20" t="n"/>
      <c r="G16" s="20" t="n"/>
      <c r="H16" s="21" t="n">
        <v>5400</v>
      </c>
      <c r="I16" s="21" t="n">
        <v>120</v>
      </c>
      <c r="J16" s="20" t="inlineStr">
        <is>
          <t>y</t>
        </is>
      </c>
      <c r="K16" s="21" t="n">
        <v>5400</v>
      </c>
      <c r="L16" s="24" t="inlineStr">
        <is>
          <t>保持</t>
        </is>
      </c>
    </row>
    <row r="17">
      <c r="A17" s="14" t="n">
        <v>14</v>
      </c>
      <c r="B17" s="14" t="inlineStr">
        <is>
          <t>3XXXL</t>
        </is>
      </c>
      <c r="C17" s="14" t="inlineStr">
        <is>
          <t>3XXXL-0</t>
        </is>
      </c>
      <c r="D17" s="14" t="n">
        <v>16</v>
      </c>
      <c r="E17" s="14" t="inlineStr">
        <is>
          <t>跑车</t>
        </is>
      </c>
      <c r="F17" s="14" t="n"/>
      <c r="G17" s="14" t="n"/>
      <c r="H17" s="15" t="n">
        <v>5581</v>
      </c>
      <c r="I17" s="15" t="n">
        <v>120</v>
      </c>
      <c r="J17" s="14" t="inlineStr">
        <is>
          <t>y</t>
        </is>
      </c>
      <c r="K17" s="15" t="n">
        <v>5581</v>
      </c>
      <c r="L17" s="19" t="inlineStr">
        <is>
          <t>保持</t>
        </is>
      </c>
    </row>
    <row r="18">
      <c r="A18" s="20" t="n">
        <v>15</v>
      </c>
      <c r="B18" s="20" t="inlineStr">
        <is>
          <t>3XXXXL</t>
        </is>
      </c>
      <c r="C18" s="20" t="inlineStr">
        <is>
          <t>3XXXXL-0</t>
        </is>
      </c>
      <c r="D18" s="20" t="n">
        <v>17</v>
      </c>
      <c r="E18" s="20" t="inlineStr">
        <is>
          <t>跑车</t>
        </is>
      </c>
      <c r="F18" s="20" t="n"/>
      <c r="G18" s="20" t="n"/>
      <c r="H18" s="21" t="n">
        <v>5939</v>
      </c>
      <c r="I18" s="21" t="n">
        <v>120</v>
      </c>
      <c r="J18" s="20" t="inlineStr">
        <is>
          <t>y</t>
        </is>
      </c>
      <c r="K18" s="21" t="n">
        <v>5939</v>
      </c>
      <c r="L18" s="24" t="inlineStr">
        <is>
          <t>保持</t>
        </is>
      </c>
    </row>
    <row r="19">
      <c r="A19" s="14" t="n">
        <v>16</v>
      </c>
      <c r="B19" s="14" t="inlineStr">
        <is>
          <t>3S</t>
        </is>
      </c>
      <c r="C19" s="14" t="inlineStr">
        <is>
          <t>3S</t>
        </is>
      </c>
      <c r="D19" s="14" t="n">
        <v>20</v>
      </c>
      <c r="E19" s="14" t="inlineStr">
        <is>
          <t>三厢车</t>
        </is>
      </c>
      <c r="F19" s="14" t="n"/>
      <c r="G19" s="14" t="n"/>
      <c r="H19" s="15" t="n">
        <v>4224</v>
      </c>
      <c r="I19" s="15" t="n">
        <v>120</v>
      </c>
      <c r="J19" s="14" t="inlineStr">
        <is>
          <t>y</t>
        </is>
      </c>
      <c r="K19" s="15" t="n">
        <v>4224</v>
      </c>
      <c r="L19" s="19" t="inlineStr">
        <is>
          <t>保持</t>
        </is>
      </c>
    </row>
    <row r="20">
      <c r="A20" s="20" t="n">
        <v>17</v>
      </c>
      <c r="B20" s="20" t="inlineStr">
        <is>
          <t>3M</t>
        </is>
      </c>
      <c r="C20" s="20" t="inlineStr">
        <is>
          <t>3M</t>
        </is>
      </c>
      <c r="D20" s="20" t="n">
        <v>21</v>
      </c>
      <c r="E20" s="20" t="inlineStr">
        <is>
          <t>三厢车</t>
        </is>
      </c>
      <c r="F20" s="20" t="n"/>
      <c r="G20" s="20" t="n"/>
      <c r="H20" s="21" t="n">
        <v>4557</v>
      </c>
      <c r="I20" s="21" t="n">
        <v>120</v>
      </c>
      <c r="J20" s="20" t="inlineStr">
        <is>
          <t>y</t>
        </is>
      </c>
      <c r="K20" s="21" t="n">
        <v>4557</v>
      </c>
      <c r="L20" s="24" t="inlineStr">
        <is>
          <t>保持</t>
        </is>
      </c>
    </row>
    <row r="21">
      <c r="A21" s="14" t="n">
        <v>18</v>
      </c>
      <c r="B21" s="14" t="inlineStr">
        <is>
          <t>3L</t>
        </is>
      </c>
      <c r="C21" s="14" t="inlineStr">
        <is>
          <t>3L</t>
        </is>
      </c>
      <c r="D21" s="14" t="n">
        <v>22</v>
      </c>
      <c r="E21" s="14" t="inlineStr">
        <is>
          <t>三厢车</t>
        </is>
      </c>
      <c r="F21" s="14" t="n"/>
      <c r="G21" s="14" t="n"/>
      <c r="H21" s="15" t="n">
        <v>4736</v>
      </c>
      <c r="I21" s="15" t="n">
        <v>120</v>
      </c>
      <c r="J21" s="14" t="inlineStr">
        <is>
          <t>y</t>
        </is>
      </c>
      <c r="K21" s="15" t="n">
        <v>4736</v>
      </c>
      <c r="L21" s="19" t="inlineStr">
        <is>
          <t>保持</t>
        </is>
      </c>
    </row>
    <row r="22">
      <c r="A22" s="20" t="n">
        <v>19</v>
      </c>
      <c r="B22" s="20" t="inlineStr">
        <is>
          <t>3XL</t>
        </is>
      </c>
      <c r="C22" s="20" t="inlineStr">
        <is>
          <t>3XL</t>
        </is>
      </c>
      <c r="D22" s="20" t="n">
        <v>23</v>
      </c>
      <c r="E22" s="20" t="inlineStr">
        <is>
          <t>三厢车</t>
        </is>
      </c>
      <c r="F22" s="20" t="n"/>
      <c r="G22" s="20" t="n"/>
      <c r="H22" s="21" t="n">
        <v>5043</v>
      </c>
      <c r="I22" s="21" t="n">
        <v>120</v>
      </c>
      <c r="J22" s="20" t="inlineStr">
        <is>
          <t>y</t>
        </is>
      </c>
      <c r="K22" s="21" t="n">
        <v>5043</v>
      </c>
      <c r="L22" s="24" t="inlineStr">
        <is>
          <t>保持</t>
        </is>
      </c>
    </row>
    <row r="23">
      <c r="A23" s="14" t="n">
        <v>20</v>
      </c>
      <c r="B23" s="14" t="inlineStr">
        <is>
          <t>3XL+</t>
        </is>
      </c>
      <c r="C23" s="14" t="inlineStr">
        <is>
          <t>3XL+</t>
        </is>
      </c>
      <c r="D23" s="14" t="n">
        <v>24</v>
      </c>
      <c r="E23" s="14" t="inlineStr">
        <is>
          <t>三厢车</t>
        </is>
      </c>
      <c r="F23" s="14" t="n"/>
      <c r="G23" s="14" t="n"/>
      <c r="H23" s="15" t="n">
        <v>5197</v>
      </c>
      <c r="I23" s="15" t="n">
        <v>120</v>
      </c>
      <c r="J23" s="14" t="inlineStr">
        <is>
          <t>y</t>
        </is>
      </c>
      <c r="K23" s="15" t="n">
        <v>5197</v>
      </c>
      <c r="L23" s="19" t="inlineStr">
        <is>
          <t>保持</t>
        </is>
      </c>
    </row>
    <row r="24">
      <c r="A24" s="20" t="n">
        <v>21</v>
      </c>
      <c r="B24" s="20" t="inlineStr">
        <is>
          <t>3XXL</t>
        </is>
      </c>
      <c r="C24" s="20" t="inlineStr">
        <is>
          <t>3XXL</t>
        </is>
      </c>
      <c r="D24" s="20" t="n">
        <v>25</v>
      </c>
      <c r="E24" s="20" t="inlineStr">
        <is>
          <t>三厢车</t>
        </is>
      </c>
      <c r="F24" s="20" t="n"/>
      <c r="G24" s="20" t="n"/>
      <c r="H24" s="21" t="n">
        <v>5400</v>
      </c>
      <c r="I24" s="21" t="n">
        <v>120</v>
      </c>
      <c r="J24" s="20" t="inlineStr">
        <is>
          <t>y</t>
        </is>
      </c>
      <c r="K24" s="21" t="n">
        <v>5400</v>
      </c>
      <c r="L24" s="24" t="inlineStr">
        <is>
          <t>保持</t>
        </is>
      </c>
    </row>
    <row r="25">
      <c r="A25" s="14" t="n">
        <v>22</v>
      </c>
      <c r="B25" s="14" t="inlineStr">
        <is>
          <t>3XXXL</t>
        </is>
      </c>
      <c r="C25" s="14" t="inlineStr">
        <is>
          <t>3XXXL</t>
        </is>
      </c>
      <c r="D25" s="14" t="n">
        <v>26</v>
      </c>
      <c r="E25" s="14" t="inlineStr">
        <is>
          <t>三厢车</t>
        </is>
      </c>
      <c r="F25" s="14" t="n"/>
      <c r="G25" s="14" t="n"/>
      <c r="H25" s="15" t="n">
        <v>5581</v>
      </c>
      <c r="I25" s="15" t="n">
        <v>120</v>
      </c>
      <c r="J25" s="14" t="inlineStr">
        <is>
          <t>y</t>
        </is>
      </c>
      <c r="K25" s="15" t="n">
        <v>5581</v>
      </c>
      <c r="L25" s="19" t="inlineStr">
        <is>
          <t>保持</t>
        </is>
      </c>
    </row>
    <row r="26">
      <c r="A26" s="20" t="n">
        <v>23</v>
      </c>
      <c r="B26" s="20" t="inlineStr">
        <is>
          <t>3XXXXL</t>
        </is>
      </c>
      <c r="C26" s="20" t="inlineStr">
        <is>
          <t>3XXXXL-0</t>
        </is>
      </c>
      <c r="D26" s="20" t="n">
        <v>27</v>
      </c>
      <c r="E26" s="20" t="inlineStr">
        <is>
          <t>三厢车</t>
        </is>
      </c>
      <c r="F26" s="20" t="n"/>
      <c r="G26" s="20" t="n"/>
      <c r="H26" s="21" t="n">
        <v>5939</v>
      </c>
      <c r="I26" s="21" t="n">
        <v>120</v>
      </c>
      <c r="J26" s="20" t="inlineStr">
        <is>
          <t>y</t>
        </is>
      </c>
      <c r="K26" s="21" t="n">
        <v>5939</v>
      </c>
      <c r="L26" s="24" t="inlineStr">
        <is>
          <t>保持</t>
        </is>
      </c>
    </row>
    <row r="27">
      <c r="A27" s="14" t="n">
        <v>24</v>
      </c>
      <c r="B27" s="14" t="inlineStr">
        <is>
          <t>YM</t>
        </is>
      </c>
      <c r="C27" s="14" t="inlineStr">
        <is>
          <t>YM</t>
        </is>
      </c>
      <c r="D27" s="14" t="n">
        <v>30</v>
      </c>
      <c r="E27" s="14" t="inlineStr">
        <is>
          <t>越野车</t>
        </is>
      </c>
      <c r="F27" s="14" t="n"/>
      <c r="G27" s="14" t="n"/>
      <c r="H27" s="15" t="n">
        <v>4634</v>
      </c>
      <c r="I27" s="15" t="n">
        <v>150</v>
      </c>
      <c r="J27" s="14" t="inlineStr">
        <is>
          <t>y</t>
        </is>
      </c>
      <c r="K27" s="15" t="n">
        <v>4634</v>
      </c>
      <c r="L27" s="19" t="inlineStr">
        <is>
          <t>保持</t>
        </is>
      </c>
    </row>
    <row r="28">
      <c r="A28" s="20" t="n">
        <v>25</v>
      </c>
      <c r="B28" s="20" t="inlineStr">
        <is>
          <t>YL</t>
        </is>
      </c>
      <c r="C28" s="20" t="inlineStr">
        <is>
          <t>YL</t>
        </is>
      </c>
      <c r="D28" s="20" t="n">
        <v>31</v>
      </c>
      <c r="E28" s="20" t="inlineStr">
        <is>
          <t>越野车</t>
        </is>
      </c>
      <c r="F28" s="20" t="n"/>
      <c r="G28" s="20" t="n"/>
      <c r="H28" s="21" t="n">
        <v>4850</v>
      </c>
      <c r="I28" s="21" t="n">
        <v>150</v>
      </c>
      <c r="J28" s="20" t="inlineStr">
        <is>
          <t>y</t>
        </is>
      </c>
      <c r="K28" s="21" t="n">
        <v>4850</v>
      </c>
      <c r="L28" s="24" t="inlineStr">
        <is>
          <t>保持</t>
        </is>
      </c>
    </row>
    <row r="29">
      <c r="A29" s="14" t="n">
        <v>26</v>
      </c>
      <c r="B29" s="14" t="inlineStr">
        <is>
          <t>YXL</t>
        </is>
      </c>
      <c r="C29" s="14" t="inlineStr">
        <is>
          <t>YXL</t>
        </is>
      </c>
      <c r="D29" s="14" t="n">
        <v>32</v>
      </c>
      <c r="E29" s="14" t="inlineStr">
        <is>
          <t>越野车</t>
        </is>
      </c>
      <c r="F29" s="14" t="n"/>
      <c r="G29" s="14" t="n"/>
      <c r="H29" s="15" t="n">
        <v>5018</v>
      </c>
      <c r="I29" s="15" t="n">
        <v>150</v>
      </c>
      <c r="J29" s="14" t="inlineStr">
        <is>
          <t>y</t>
        </is>
      </c>
      <c r="K29" s="15" t="n">
        <v>5018</v>
      </c>
      <c r="L29" s="19" t="inlineStr">
        <is>
          <t>保持</t>
        </is>
      </c>
    </row>
    <row r="30">
      <c r="A30" s="20" t="n">
        <v>27</v>
      </c>
      <c r="B30" s="20" t="inlineStr">
        <is>
          <t>YXXL</t>
        </is>
      </c>
      <c r="C30" s="20" t="inlineStr">
        <is>
          <t>YXXL</t>
        </is>
      </c>
      <c r="D30" s="20" t="n">
        <v>33</v>
      </c>
      <c r="E30" s="20" t="inlineStr">
        <is>
          <t>越野车</t>
        </is>
      </c>
      <c r="F30" s="20" t="n"/>
      <c r="G30" s="20" t="n"/>
      <c r="H30" s="21" t="n">
        <v>5248</v>
      </c>
      <c r="I30" s="21" t="n">
        <v>150</v>
      </c>
      <c r="J30" s="20" t="inlineStr">
        <is>
          <t>y</t>
        </is>
      </c>
      <c r="K30" s="21" t="n">
        <v>5248</v>
      </c>
      <c r="L30" s="24" t="inlineStr">
        <is>
          <t>保持</t>
        </is>
      </c>
    </row>
    <row r="31">
      <c r="A31" s="14" t="n">
        <v>28</v>
      </c>
      <c r="B31" s="14" t="inlineStr">
        <is>
          <t>YXXL-545</t>
        </is>
      </c>
      <c r="C31" s="14" t="inlineStr">
        <is>
          <t>YXXL-545</t>
        </is>
      </c>
      <c r="D31" s="14" t="n">
        <v>34</v>
      </c>
      <c r="E31" s="14" t="inlineStr">
        <is>
          <t>越野车</t>
        </is>
      </c>
      <c r="F31" s="14" t="n"/>
      <c r="G31" s="14" t="n"/>
      <c r="H31" s="15" t="n">
        <v>5478</v>
      </c>
      <c r="I31" s="15" t="n">
        <v>150</v>
      </c>
      <c r="J31" s="14" t="inlineStr">
        <is>
          <t>y</t>
        </is>
      </c>
      <c r="K31" s="15" t="n">
        <v>5478</v>
      </c>
      <c r="L31" s="19" t="inlineStr">
        <is>
          <t>保持</t>
        </is>
      </c>
    </row>
    <row r="32">
      <c r="A32" s="20" t="n">
        <v>29</v>
      </c>
      <c r="B32" s="20" t="inlineStr">
        <is>
          <t>YXXL-585</t>
        </is>
      </c>
      <c r="C32" s="20" t="inlineStr">
        <is>
          <t>YXXL-585</t>
        </is>
      </c>
      <c r="D32" s="20" t="n">
        <v>35</v>
      </c>
      <c r="E32" s="20" t="inlineStr">
        <is>
          <t>越野车</t>
        </is>
      </c>
      <c r="F32" s="20" t="n"/>
      <c r="G32" s="20" t="n"/>
      <c r="H32" s="21" t="n">
        <v>5888</v>
      </c>
      <c r="I32" s="21" t="n">
        <v>150</v>
      </c>
      <c r="J32" s="20" t="inlineStr">
        <is>
          <t>y</t>
        </is>
      </c>
      <c r="K32" s="21" t="n">
        <v>5888</v>
      </c>
      <c r="L32" s="24" t="inlineStr">
        <is>
          <t>保持</t>
        </is>
      </c>
    </row>
    <row r="33">
      <c r="A33" s="14" t="n">
        <v>30</v>
      </c>
      <c r="B33" s="14" t="inlineStr">
        <is>
          <t>PK-M</t>
        </is>
      </c>
      <c r="C33" s="14" t="inlineStr">
        <is>
          <t>PK-M</t>
        </is>
      </c>
      <c r="D33" s="14" t="n">
        <v>100</v>
      </c>
      <c r="E33" s="14" t="inlineStr">
        <is>
          <t>皮卡</t>
        </is>
      </c>
      <c r="F33" s="14" t="n"/>
      <c r="G33" s="14" t="n"/>
      <c r="H33" s="15" t="n">
        <v>5304</v>
      </c>
      <c r="I33" s="15" t="n">
        <v>250</v>
      </c>
      <c r="J33" s="14" t="inlineStr">
        <is>
          <t>y</t>
        </is>
      </c>
      <c r="K33" s="15" t="n">
        <v>5304</v>
      </c>
      <c r="L33" s="19" t="inlineStr">
        <is>
          <t>保持</t>
        </is>
      </c>
    </row>
    <row r="34">
      <c r="A34" s="20" t="n">
        <v>31</v>
      </c>
      <c r="B34" s="20" t="inlineStr">
        <is>
          <t>PK-M+</t>
        </is>
      </c>
      <c r="C34" s="20" t="inlineStr">
        <is>
          <t>PK-M+</t>
        </is>
      </c>
      <c r="D34" s="20" t="n">
        <v>101</v>
      </c>
      <c r="E34" s="20" t="inlineStr">
        <is>
          <t>皮卡</t>
        </is>
      </c>
      <c r="F34" s="20" t="n"/>
      <c r="G34" s="20" t="n"/>
      <c r="H34" s="21" t="n">
        <v>5632</v>
      </c>
      <c r="I34" s="21" t="n">
        <v>250</v>
      </c>
      <c r="J34" s="20" t="inlineStr">
        <is>
          <t>y</t>
        </is>
      </c>
      <c r="K34" s="21" t="n">
        <v>5632</v>
      </c>
      <c r="L34" s="24" t="inlineStr">
        <is>
          <t>保持</t>
        </is>
      </c>
    </row>
    <row r="35">
      <c r="A35" s="14" t="n">
        <v>32</v>
      </c>
      <c r="B35" s="14" t="inlineStr">
        <is>
          <t>PK-L</t>
        </is>
      </c>
      <c r="C35" s="14" t="inlineStr">
        <is>
          <t>PK-L</t>
        </is>
      </c>
      <c r="D35" s="14" t="n">
        <v>102</v>
      </c>
      <c r="E35" s="14" t="inlineStr">
        <is>
          <t>皮卡</t>
        </is>
      </c>
      <c r="F35" s="14" t="n"/>
      <c r="G35" s="14" t="n"/>
      <c r="H35" s="15" t="n">
        <v>5896</v>
      </c>
      <c r="I35" s="15" t="n">
        <v>250</v>
      </c>
      <c r="J35" s="14" t="inlineStr">
        <is>
          <t>y</t>
        </is>
      </c>
      <c r="K35" s="15" t="n">
        <v>5896</v>
      </c>
      <c r="L35" s="19" t="inlineStr">
        <is>
          <t>保持</t>
        </is>
      </c>
    </row>
    <row r="36">
      <c r="A36" s="20" t="n">
        <v>33</v>
      </c>
      <c r="B36" s="20" t="inlineStr">
        <is>
          <t>PK-XL</t>
        </is>
      </c>
      <c r="C36" s="20" t="inlineStr">
        <is>
          <t>PK-XL</t>
        </is>
      </c>
      <c r="D36" s="20" t="n">
        <v>102</v>
      </c>
      <c r="E36" s="20" t="inlineStr">
        <is>
          <t>皮卡</t>
        </is>
      </c>
      <c r="F36" s="20" t="n"/>
      <c r="G36" s="20" t="n"/>
      <c r="H36" s="21" t="n">
        <v>6195</v>
      </c>
      <c r="I36" s="21" t="n">
        <v>250</v>
      </c>
      <c r="J36" s="20" t="inlineStr">
        <is>
          <t>y</t>
        </is>
      </c>
      <c r="K36" s="21" t="n">
        <v>6195</v>
      </c>
      <c r="L36" s="24" t="inlineStr">
        <is>
          <t>保持</t>
        </is>
      </c>
    </row>
    <row r="37">
      <c r="A37" s="14" t="n">
        <v>34</v>
      </c>
      <c r="B37" s="14" t="inlineStr">
        <is>
          <t>PK-XL+</t>
        </is>
      </c>
      <c r="C37" s="14" t="inlineStr">
        <is>
          <t>PK-XL+</t>
        </is>
      </c>
      <c r="D37" s="14" t="n">
        <v>103</v>
      </c>
      <c r="E37" s="14" t="inlineStr">
        <is>
          <t>皮卡</t>
        </is>
      </c>
      <c r="F37" s="14" t="n"/>
      <c r="G37" s="14" t="n"/>
      <c r="H37" s="15" t="n">
        <v>6195</v>
      </c>
      <c r="I37" s="15" t="n">
        <v>6280</v>
      </c>
      <c r="J37" s="14" t="n"/>
      <c r="K37" s="15" t="n">
        <v>6195</v>
      </c>
      <c r="L37" s="19" t="inlineStr">
        <is>
          <t>保持</t>
        </is>
      </c>
    </row>
    <row r="38">
      <c r="A38" s="20" t="n">
        <v>35</v>
      </c>
      <c r="B38" s="20" t="inlineStr">
        <is>
          <t>PK-XXL</t>
        </is>
      </c>
      <c r="C38" s="20" t="inlineStr">
        <is>
          <t>PK-XXL</t>
        </is>
      </c>
      <c r="D38" s="20" t="n">
        <v>104</v>
      </c>
      <c r="E38" s="20" t="inlineStr">
        <is>
          <t>皮卡</t>
        </is>
      </c>
      <c r="F38" s="20" t="n"/>
      <c r="G38" s="20" t="n"/>
      <c r="H38" s="21" t="n">
        <v>6451</v>
      </c>
      <c r="I38" s="21" t="n">
        <v>250</v>
      </c>
      <c r="J38" s="20" t="inlineStr">
        <is>
          <t>y</t>
        </is>
      </c>
      <c r="K38" s="21" t="n">
        <v>6462</v>
      </c>
      <c r="L38" s="24" t="inlineStr">
        <is>
          <t>小范围试行</t>
        </is>
      </c>
    </row>
    <row r="39">
      <c r="A39" s="14" t="n">
        <v>36</v>
      </c>
      <c r="B39" s="14" t="inlineStr">
        <is>
          <t>PK-XXXL</t>
        </is>
      </c>
      <c r="C39" s="14" t="inlineStr">
        <is>
          <t>PK-XXXL</t>
        </is>
      </c>
      <c r="D39" s="14" t="n">
        <v>105</v>
      </c>
      <c r="E39" s="14" t="inlineStr">
        <is>
          <t>皮卡</t>
        </is>
      </c>
      <c r="F39" s="14" t="n"/>
      <c r="G39" s="14" t="n"/>
      <c r="H39" s="15" t="n">
        <v>6800</v>
      </c>
      <c r="I39" s="15" t="n">
        <v>250</v>
      </c>
      <c r="J39" s="14" t="inlineStr">
        <is>
          <t>y</t>
        </is>
      </c>
      <c r="K39" s="15" t="n">
        <v>6800</v>
      </c>
      <c r="L39" s="19" t="inlineStr">
        <is>
          <t>保持</t>
        </is>
      </c>
    </row>
    <row r="40">
      <c r="A40" s="20" t="n">
        <v>37</v>
      </c>
      <c r="B40" s="20" t="inlineStr">
        <is>
          <t>PK-WX</t>
        </is>
      </c>
      <c r="C40" s="20" t="inlineStr">
        <is>
          <t>PK-WX</t>
        </is>
      </c>
      <c r="D40" s="20" t="n">
        <v>106</v>
      </c>
      <c r="E40" s="20" t="inlineStr">
        <is>
          <t>皮卡</t>
        </is>
      </c>
      <c r="F40" s="20" t="n"/>
      <c r="G40" s="20" t="inlineStr">
        <is>
          <t>DRW</t>
        </is>
      </c>
      <c r="H40" s="21" t="n">
        <v>6000</v>
      </c>
      <c r="I40" s="21" t="n">
        <v>999</v>
      </c>
      <c r="J40" s="20" t="inlineStr">
        <is>
          <t>y</t>
        </is>
      </c>
      <c r="K40" s="21" t="n">
        <v>6000</v>
      </c>
      <c r="L40" s="24" t="inlineStr">
        <is>
          <t>保持</t>
        </is>
      </c>
    </row>
    <row r="41">
      <c r="A41" s="14" t="n">
        <v>38</v>
      </c>
      <c r="B41" s="14" t="inlineStr">
        <is>
          <t>PK-WXXL</t>
        </is>
      </c>
      <c r="C41" s="14" t="inlineStr">
        <is>
          <t>PK-WXXL</t>
        </is>
      </c>
      <c r="D41" s="14" t="n">
        <v>107</v>
      </c>
      <c r="E41" s="14" t="inlineStr">
        <is>
          <t>皮卡</t>
        </is>
      </c>
      <c r="F41" s="14" t="n"/>
      <c r="G41" s="14" t="inlineStr">
        <is>
          <t>DRW</t>
        </is>
      </c>
      <c r="H41" s="15" t="n">
        <v>6800</v>
      </c>
      <c r="I41" s="15" t="n">
        <v>999</v>
      </c>
      <c r="J41" s="14" t="inlineStr">
        <is>
          <t>y</t>
        </is>
      </c>
      <c r="K41" s="15" t="n">
        <v>6800</v>
      </c>
      <c r="L41" s="19" t="inlineStr">
        <is>
          <t>保持</t>
        </is>
      </c>
    </row>
    <row r="42">
      <c r="A42" s="20" t="n">
        <v>39</v>
      </c>
      <c r="B42" s="20" t="inlineStr">
        <is>
          <t>3WX</t>
        </is>
      </c>
      <c r="C42" s="20" t="inlineStr">
        <is>
          <t>3WXL-0</t>
        </is>
      </c>
      <c r="D42" s="20" t="n">
        <v>110</v>
      </c>
      <c r="E42" s="20" t="inlineStr">
        <is>
          <t>跑车</t>
        </is>
      </c>
      <c r="F42" s="20" t="n"/>
      <c r="G42" s="20" t="n"/>
      <c r="H42" s="21" t="n">
        <v>5000</v>
      </c>
      <c r="I42" s="21" t="n">
        <v>250</v>
      </c>
      <c r="J42" s="20" t="inlineStr">
        <is>
          <t>y</t>
        </is>
      </c>
      <c r="K42" s="21" t="n">
        <v>5000</v>
      </c>
      <c r="L42" s="24" t="inlineStr">
        <is>
          <t>保持</t>
        </is>
      </c>
    </row>
    <row r="43">
      <c r="A43" s="14" t="n">
        <v>40</v>
      </c>
      <c r="B43" s="14" t="inlineStr">
        <is>
          <t>3WXXL</t>
        </is>
      </c>
      <c r="C43" s="14" t="inlineStr">
        <is>
          <t>3WXXL-0</t>
        </is>
      </c>
      <c r="D43" s="14" t="n">
        <v>111</v>
      </c>
      <c r="E43" s="14" t="inlineStr">
        <is>
          <t>跑车</t>
        </is>
      </c>
      <c r="F43" s="14" t="n"/>
      <c r="G43" s="14" t="n"/>
      <c r="H43" s="15" t="n">
        <v>5500</v>
      </c>
      <c r="I43" s="15" t="n">
        <v>999</v>
      </c>
      <c r="J43" s="14" t="inlineStr">
        <is>
          <t>y</t>
        </is>
      </c>
      <c r="K43" s="15" t="n">
        <v>5500</v>
      </c>
      <c r="L43" s="19" t="inlineStr">
        <is>
          <t>保持</t>
        </is>
      </c>
    </row>
    <row r="44">
      <c r="A44" s="20" t="n">
        <v>41</v>
      </c>
      <c r="B44" s="20" t="inlineStr">
        <is>
          <t>3WXXXL</t>
        </is>
      </c>
      <c r="C44" s="20" t="inlineStr">
        <is>
          <t>3WXXXL-0</t>
        </is>
      </c>
      <c r="D44" s="20" t="n">
        <v>112</v>
      </c>
      <c r="E44" s="20" t="inlineStr">
        <is>
          <t>跑车</t>
        </is>
      </c>
      <c r="F44" s="20" t="n"/>
      <c r="G44" s="20" t="n"/>
      <c r="H44" s="21" t="n">
        <v>6000</v>
      </c>
      <c r="I44" s="21" t="n">
        <v>999</v>
      </c>
      <c r="J44" s="20" t="inlineStr">
        <is>
          <t>y</t>
        </is>
      </c>
      <c r="K44" s="21" t="n">
        <v>6000</v>
      </c>
      <c r="L44" s="24" t="inlineStr">
        <is>
          <t>保持</t>
        </is>
      </c>
    </row>
    <row r="45">
      <c r="A45" s="14" t="n">
        <v>42</v>
      </c>
      <c r="B45" s="14" t="inlineStr">
        <is>
          <t>3WX</t>
        </is>
      </c>
      <c r="C45" s="14" t="inlineStr">
        <is>
          <t>3WXL</t>
        </is>
      </c>
      <c r="D45" s="14" t="n">
        <v>130</v>
      </c>
      <c r="E45" s="14" t="inlineStr">
        <is>
          <t>三厢车</t>
        </is>
      </c>
      <c r="F45" s="14" t="n"/>
      <c r="G45" s="14" t="n"/>
      <c r="H45" s="15" t="n">
        <v>5000</v>
      </c>
      <c r="I45" s="15" t="n">
        <v>250</v>
      </c>
      <c r="J45" s="14" t="inlineStr">
        <is>
          <t>y</t>
        </is>
      </c>
      <c r="K45" s="15" t="n">
        <v>5000</v>
      </c>
      <c r="L45" s="19" t="inlineStr">
        <is>
          <t>保持</t>
        </is>
      </c>
    </row>
    <row r="46">
      <c r="A46" s="20" t="n">
        <v>43</v>
      </c>
      <c r="B46" s="20" t="inlineStr">
        <is>
          <t>3WXXL</t>
        </is>
      </c>
      <c r="C46" s="20" t="inlineStr">
        <is>
          <t>3WXXL</t>
        </is>
      </c>
      <c r="D46" s="20" t="n">
        <v>131</v>
      </c>
      <c r="E46" s="20" t="inlineStr">
        <is>
          <t>三厢车</t>
        </is>
      </c>
      <c r="F46" s="20" t="n"/>
      <c r="G46" s="20" t="n"/>
      <c r="H46" s="21" t="n">
        <v>5500</v>
      </c>
      <c r="I46" s="21" t="n">
        <v>999</v>
      </c>
      <c r="J46" s="20" t="inlineStr">
        <is>
          <t>y</t>
        </is>
      </c>
      <c r="K46" s="21" t="n">
        <v>5500</v>
      </c>
      <c r="L46" s="24" t="inlineStr">
        <is>
          <t>保持</t>
        </is>
      </c>
    </row>
    <row r="47">
      <c r="A47" s="14" t="n">
        <v>44</v>
      </c>
      <c r="B47" s="14" t="inlineStr">
        <is>
          <t>3WXXXL</t>
        </is>
      </c>
      <c r="C47" s="14" t="inlineStr">
        <is>
          <t>3WXXXL</t>
        </is>
      </c>
      <c r="D47" s="14" t="n">
        <v>132</v>
      </c>
      <c r="E47" s="14" t="inlineStr">
        <is>
          <t>三厢车</t>
        </is>
      </c>
      <c r="F47" s="14" t="n"/>
      <c r="G47" s="14" t="n"/>
      <c r="H47" s="15" t="n">
        <v>6000</v>
      </c>
      <c r="I47" s="15" t="n">
        <v>999</v>
      </c>
      <c r="J47" s="14" t="inlineStr">
        <is>
          <t>y</t>
        </is>
      </c>
      <c r="K47" s="15" t="n">
        <v>6000</v>
      </c>
      <c r="L47" s="19" t="inlineStr">
        <is>
          <t>保持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3.55" customWidth="1" min="3" max="3"/>
    <col width="10" customWidth="1" min="4" max="4"/>
    <col width="10" customWidth="1" min="5" max="5"/>
    <col width="12.5" customWidth="1" min="6" max="6"/>
  </cols>
  <sheetData>
    <row r="1" ht="32" customHeight="1">
      <c r="A1" s="1" t="inlineStr">
        <is>
          <t>分析覆盖与规则复算质量</t>
        </is>
      </c>
    </row>
    <row r="2" ht="28" customHeight="1">
      <c r="A2" s="2" t="inlineStr">
        <is>
          <t>现行规则复算与“自动尺码”字段差异：0 条。未分类的 450 条记录销量均为 0，不进入上限优化。</t>
        </is>
      </c>
    </row>
    <row r="3"/>
    <row r="4" ht="32" customHeight="1">
      <c r="A4" s="13" t="inlineStr">
        <is>
          <t>分类</t>
        </is>
      </c>
      <c r="B4" s="13" t="inlineStr">
        <is>
          <t>记录数</t>
        </is>
      </c>
      <c r="C4" s="13" t="inlineStr">
        <is>
          <t>销量合计</t>
        </is>
      </c>
      <c r="D4" s="13" t="inlineStr">
        <is>
          <t>已匹配尺码</t>
        </is>
      </c>
      <c r="E4" s="13" t="inlineStr">
        <is>
          <t>未匹配尺码</t>
        </is>
      </c>
      <c r="F4" s="13" t="inlineStr">
        <is>
          <t>未匹配销量</t>
        </is>
      </c>
    </row>
    <row r="5">
      <c r="A5" s="14" t="inlineStr">
        <is>
          <t>两厢车</t>
        </is>
      </c>
      <c r="B5" s="18" t="n">
        <v>700</v>
      </c>
      <c r="C5" s="18" t="n">
        <v>101880206</v>
      </c>
      <c r="D5" s="18" t="n">
        <v>540</v>
      </c>
      <c r="E5" s="18" t="n">
        <v>160</v>
      </c>
      <c r="F5" s="30" t="n">
        <v>14924035</v>
      </c>
    </row>
    <row r="6">
      <c r="A6" s="20" t="inlineStr">
        <is>
          <t>跑车</t>
        </is>
      </c>
      <c r="B6" s="23" t="n">
        <v>1172</v>
      </c>
      <c r="C6" s="23" t="n">
        <v>102791687</v>
      </c>
      <c r="D6" s="23" t="n">
        <v>1168</v>
      </c>
      <c r="E6" s="23" t="n">
        <v>4</v>
      </c>
      <c r="F6" s="31" t="n">
        <v>97053</v>
      </c>
    </row>
    <row r="7">
      <c r="A7" s="14" t="inlineStr">
        <is>
          <t>三厢车</t>
        </is>
      </c>
      <c r="B7" s="18" t="n">
        <v>1085</v>
      </c>
      <c r="C7" s="18" t="n">
        <v>180088235</v>
      </c>
      <c r="D7" s="18" t="n">
        <v>1085</v>
      </c>
      <c r="E7" s="18" t="n">
        <v>0</v>
      </c>
      <c r="F7" s="30" t="n">
        <v>0</v>
      </c>
    </row>
    <row r="8">
      <c r="A8" s="20" t="inlineStr">
        <is>
          <t>越野车</t>
        </is>
      </c>
      <c r="B8" s="23" t="n">
        <v>932</v>
      </c>
      <c r="C8" s="23" t="n">
        <v>161617723</v>
      </c>
      <c r="D8" s="23" t="n">
        <v>867</v>
      </c>
      <c r="E8" s="23" t="n">
        <v>65</v>
      </c>
      <c r="F8" s="31" t="n">
        <v>4485026</v>
      </c>
    </row>
    <row r="9">
      <c r="A9" s="14" t="inlineStr">
        <is>
          <t>皮卡</t>
        </is>
      </c>
      <c r="B9" s="18" t="n">
        <v>465</v>
      </c>
      <c r="C9" s="18" t="n">
        <v>125609332</v>
      </c>
      <c r="D9" s="18" t="n">
        <v>439</v>
      </c>
      <c r="E9" s="18" t="n">
        <v>26</v>
      </c>
      <c r="F9" s="30" t="n">
        <v>5017587</v>
      </c>
    </row>
    <row r="10">
      <c r="A10" s="20" t="inlineStr">
        <is>
          <t>未分类</t>
        </is>
      </c>
      <c r="B10" s="23" t="n">
        <v>450</v>
      </c>
      <c r="C10" s="23" t="n">
        <v>0</v>
      </c>
      <c r="D10" s="23" t="n">
        <v>0</v>
      </c>
      <c r="E10" s="23" t="n">
        <v>450</v>
      </c>
      <c r="F10" s="31" t="n">
        <v>0</v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2026-08-27T02:35:08Z</dcterms:created>
  <dcterms:modified xmlns:dcterms="http://purl.org/dc/terms/" xmlns:xsi="http://www.w3.org/2001/XMLSchema-instance" xsi:type="dcterms:W3CDTF">2026-08-27T02:35:08Z</dcterms:modified>
</cp:coreProperties>
</file>